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評分表" sheetId="2" state="visible" r:id="rId2"/>
    <sheet xmlns:r="http://schemas.openxmlformats.org/officeDocument/2006/relationships" name="評分準則" sheetId="3" state="visible" r:id="rId3"/>
    <sheet xmlns:r="http://schemas.openxmlformats.org/officeDocument/2006/relationships" name="題型說明" sheetId="4" state="visible" r:id="rId4"/>
    <sheet xmlns:r="http://schemas.openxmlformats.org/officeDocument/2006/relationships" name="統計" sheetId="5" state="visible" r:id="rId5"/>
    <sheet xmlns:r="http://schemas.openxmlformats.org/officeDocument/2006/relationships" name="測試環境" sheetId="6" state="visible" r:id="rId6"/>
    <sheet xmlns:r="http://schemas.openxmlformats.org/officeDocument/2006/relationships" name="填寫範例" sheetId="7" state="visible" r:id="rId7"/>
  </sheets>
  <definedNames>
    <definedName name="_xlnm._FilterDatabase" localSheetId="1" hidden="1">'評分表'!$A$1:$AB$51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JhengHei"/>
      <b val="1"/>
      <color rgb="001F3864"/>
      <sz val="16"/>
    </font>
    <font>
      <name val="Microsoft JhengHei"/>
      <color rgb="00595959"/>
      <sz val="10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  <font>
      <name val="Microsoft JhengHei"/>
      <b val="1"/>
      <color rgb="001F3864"/>
      <sz val="11"/>
    </font>
    <font>
      <name val="Microsoft JhengHei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2" fontId="4" fillId="5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" fontId="4" fillId="5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2" fontId="4" fillId="5" borderId="0" applyAlignment="1" pivotButton="0" quotePrefix="0" xfId="0">
      <alignment horizontal="center"/>
    </xf>
    <xf numFmtId="164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4" fillId="6" borderId="1" pivotButton="0" quotePrefix="0" xfId="0"/>
    <xf numFmtId="2" fontId="4" fillId="5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FocusFlow QA 系統回答品質評測</t>
        </is>
      </c>
    </row>
    <row r="2">
      <c r="A2" s="2" t="inlineStr">
        <is>
          <t>題庫來源：AI入門基礎課（courseId 6a6da68456dd124511ec5196）6 支影片、694 個逐字稿片段，全部題目與 Gold 要點皆取自實際逐字稿內容</t>
        </is>
      </c>
    </row>
    <row r="4" ht="34" customHeight="1">
      <c r="A4" s="3" t="inlineStr">
        <is>
          <t>分頁</t>
        </is>
      </c>
      <c r="B4" s="4" t="inlineStr">
        <is>
          <t>評分表＝主表（70 題）｜評分準則＝1-5 分錨定描述｜題型說明＝題庫組成｜統計＝自動彙總｜測試環境＝本輪設定紀錄｜填寫範例＝一列完整範例</t>
        </is>
      </c>
    </row>
    <row r="5" ht="34" customHeight="1">
      <c r="A5" s="3" t="inlineStr">
        <is>
          <t>欄位顏色</t>
        </is>
      </c>
      <c r="B5" s="4" t="inlineStr">
        <is>
          <t>黃色＝執行結果，由 runQaEval.js 自動填入或人工貼上（I～Q 欄）｜綠色＝人工評分欄（R～X、Z～AB 欄）｜藍色＝公式自動計算，請勿覆寫（Y 欄）</t>
        </is>
      </c>
    </row>
    <row r="6" ht="34" customHeight="1">
      <c r="A6" s="3" t="inlineStr">
        <is>
          <t>評分順序</t>
        </is>
      </c>
      <c r="B6" s="4" t="inlineStr">
        <is>
          <t>1) 看 matches 片段 → 評 B 忠實性、D 引用；2) 對 Gold 要點 → 評 A 正確性、C 完整性；3) 最後評 E 清晰度、F 拒答恰當性。先評 B/D 可避免被通順文筆影響判斷。</t>
        </is>
      </c>
    </row>
    <row r="7" ht="34" customHeight="1">
      <c r="A7" s="3" t="inlineStr">
        <is>
          <t>致命錯誤</t>
        </is>
      </c>
      <c r="B7" s="4" t="inlineStr">
        <is>
          <t>B≤2（幻覺）或 D≤2（引用錯影片）時在 X 欄填 Y，該題總分自動壓到 2.00 上限。</t>
        </is>
      </c>
    </row>
    <row r="8" ht="34" customHeight="1">
      <c r="A8" s="3" t="inlineStr">
        <is>
          <t>測試前必做 1</t>
        </is>
      </c>
      <c r="B8" s="4" t="inlineStr">
        <is>
          <t>設定 FAQ_CACHE_ENABLED=false。否則相似度 ≥0.95 的題目會直接回快取，評到的不是模型。</t>
        </is>
      </c>
    </row>
    <row r="9" ht="34" customHeight="1">
      <c r="A9" s="3" t="inlineStr">
        <is>
          <t>測試前必做 2</t>
        </is>
      </c>
      <c r="B9" s="4" t="inlineStr">
        <is>
          <t>呼叫 DELETE /api/v1/courses/{courseId}/faqs 清空快取。改 QA_MATCH_LIMIT 或換模型不會讓舊快取失效，會拿到舊答案。</t>
        </is>
      </c>
    </row>
    <row r="10" ht="34" customHeight="1">
      <c r="A10" s="3" t="inlineStr">
        <is>
          <t>測試前必做 3</t>
        </is>
      </c>
      <c r="B10" s="4" t="inlineStr">
        <is>
          <t>在「測試環境」分頁記下本輪的 QA_MATCH_LIMIT、GEMINI_CHAT_MODEL、QA_VECTOR_SEARCH_MODE 與日期。之後要做調參前後對比全靠這一頁。</t>
        </is>
      </c>
    </row>
    <row r="11" ht="34" customHeight="1">
      <c r="A11" s="3" t="inlineStr">
        <is>
          <t>自動填答</t>
        </is>
      </c>
      <c r="B11" s="4" t="inlineStr">
        <is>
          <t>backend/scripts/qa-eval/runQaEval.js 會依 question-bank.json 逐題呼叫 QA API，輸出 results.json / results.csv，可直接貼進 I～Q 欄。</t>
        </is>
      </c>
    </row>
    <row r="12" ht="34" customHeight="1">
      <c r="A12" s="3" t="inlineStr">
        <is>
          <t>信度建議</t>
        </is>
      </c>
      <c r="B12" s="4" t="inlineStr">
        <is>
          <t>抽 20% 題目給第二人盲評，在「人工複核」欄填「同意」或「修正」，統計分頁會算一致率；低於 80% 代表準則錨定需要再細化。</t>
        </is>
      </c>
    </row>
    <row r="13" ht="34" customHeight="1">
      <c r="A13" s="3" t="inlineStr">
        <is>
          <t>怎麼讀結果</t>
        </is>
      </c>
      <c r="B13" s="4" t="inlineStr">
        <is>
          <t>A 高 B 低＝答案對但靠模型自身知識，是檢索/prompt 問題｜C 低且集中在跨片段題＝QA_MATCH_LIMIT 不足｜D 低＝時間戳有問題，學生跳過去看到不相干內容｜「該拒答卻硬答」＞0＝最嚴重，代表系統會編造。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34" customWidth="1" min="4" max="4"/>
    <col width="60" customWidth="1" min="5" max="5"/>
    <col width="12" customWidth="1" min="6" max="6"/>
    <col width="20" customWidth="1" min="7" max="7"/>
    <col width="11" customWidth="1" min="8" max="8"/>
    <col width="46" customWidth="1" min="9" max="9"/>
    <col width="16" customWidth="1" min="10" max="10"/>
    <col width="16" customWidth="1" min="11" max="11"/>
    <col width="13" customWidth="1" min="12" max="12"/>
    <col width="15" customWidth="1" min="13" max="13"/>
    <col width="11" customWidth="1" min="14" max="14"/>
    <col width="10" customWidth="1" min="15" max="15"/>
    <col width="13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1" customWidth="1" min="23" max="23"/>
    <col width="10" customWidth="1" min="24" max="24"/>
    <col width="10" customWidth="1" min="25" max="25"/>
    <col width="52" customWidth="1" min="26" max="26"/>
    <col width="11" customWidth="1" min="27" max="27"/>
    <col width="30" customWidth="1" min="28" max="28"/>
  </cols>
  <sheetData>
    <row r="1" ht="34" customHeight="1">
      <c r="A1" s="5" t="inlineStr">
        <is>
          <t>題號</t>
        </is>
      </c>
      <c r="B1" s="5" t="inlineStr">
        <is>
          <t>題型</t>
        </is>
      </c>
      <c r="C1" s="5" t="inlineStr">
        <is>
          <t>難度</t>
        </is>
      </c>
      <c r="D1" s="5" t="inlineStr">
        <is>
          <t>問題</t>
        </is>
      </c>
      <c r="E1" s="5" t="inlineStr">
        <is>
          <t>Gold 答案要點</t>
        </is>
      </c>
      <c r="F1" s="5" t="inlineStr">
        <is>
          <t>應命中影片</t>
        </is>
      </c>
      <c r="G1" s="5" t="inlineStr">
        <is>
          <t>應命中時間(秒)</t>
        </is>
      </c>
      <c r="H1" s="5" t="inlineStr">
        <is>
          <t>是否應拒答</t>
        </is>
      </c>
      <c r="I1" s="5" t="inlineStr">
        <is>
          <t>系統答案</t>
        </is>
      </c>
      <c r="J1" s="5" t="inlineStr">
        <is>
          <t>系統引用影片</t>
        </is>
      </c>
      <c r="K1" s="5" t="inlineStr">
        <is>
          <t>系統引用時間</t>
        </is>
      </c>
      <c r="L1" s="5" t="inlineStr">
        <is>
          <t>系統是否拒答</t>
        </is>
      </c>
      <c r="M1" s="5" t="inlineStr">
        <is>
          <t>matchStatus</t>
        </is>
      </c>
      <c r="N1" s="5" t="inlineStr">
        <is>
          <t>matchCount</t>
        </is>
      </c>
      <c r="O1" s="5" t="inlineStr">
        <is>
          <t>topScore</t>
        </is>
      </c>
      <c r="P1" s="5" t="inlineStr">
        <is>
          <t>faqCache命中</t>
        </is>
      </c>
      <c r="Q1" s="5" t="inlineStr">
        <is>
          <t>回應秒數</t>
        </is>
      </c>
      <c r="R1" s="5" t="inlineStr">
        <is>
          <t>A 正確性</t>
        </is>
      </c>
      <c r="S1" s="5" t="inlineStr">
        <is>
          <t>B 忠實性</t>
        </is>
      </c>
      <c r="T1" s="5" t="inlineStr">
        <is>
          <t>C 完整性</t>
        </is>
      </c>
      <c r="U1" s="5" t="inlineStr">
        <is>
          <t>D 引用</t>
        </is>
      </c>
      <c r="V1" s="5" t="inlineStr">
        <is>
          <t>E 清晰度</t>
        </is>
      </c>
      <c r="W1" s="5" t="inlineStr">
        <is>
          <t>F 拒答恰當</t>
        </is>
      </c>
      <c r="X1" s="5" t="inlineStr">
        <is>
          <t>致命錯誤</t>
        </is>
      </c>
      <c r="Y1" s="5" t="inlineStr">
        <is>
          <t>加權總分</t>
        </is>
      </c>
      <c r="Z1" s="5" t="inlineStr">
        <is>
          <t>評分理由</t>
        </is>
      </c>
      <c r="AA1" s="5" t="inlineStr">
        <is>
          <t>人工複核</t>
        </is>
      </c>
      <c r="AB1" s="5" t="inlineStr">
        <is>
          <t>複核備註</t>
        </is>
      </c>
    </row>
    <row r="2" ht="150" customHeight="1">
      <c r="A2" s="6" t="inlineStr">
        <is>
          <t>F01</t>
        </is>
      </c>
      <c r="B2" s="6" t="inlineStr">
        <is>
          <t>單片段事實</t>
        </is>
      </c>
      <c r="C2" s="6" t="inlineStr">
        <is>
          <t>易</t>
        </is>
      </c>
      <c r="D2" s="7" t="inlineStr">
        <is>
          <t>4090 顯示卡的記憶體大小是多少？</t>
        </is>
      </c>
      <c r="E2" s="7" t="inlineStr">
        <is>
          <t>24GB。老師以 4090 作為後續比較的基準點。</t>
        </is>
      </c>
      <c r="F2" s="6" t="inlineStr">
        <is>
          <t>V1</t>
        </is>
      </c>
      <c r="G2" s="7" t="inlineStr">
        <is>
          <t>1057-1096</t>
        </is>
      </c>
      <c r="H2" s="6" t="inlineStr">
        <is>
          <t>N</t>
        </is>
      </c>
      <c r="I2" s="8" t="inlineStr">
        <is>
          <t>4090 顯示卡的記憶體大小是 24GB。
(影片：aiA10_1140119_1 1057.23-1075.06s、1410.99-1422.35s、1422.79-1440.89s)</t>
        </is>
      </c>
      <c r="J2" s="8" t="inlineStr">
        <is>
          <t>aiA10_1140119_1 | aiA10_1140119_3</t>
        </is>
      </c>
      <c r="K2" s="8" t="inlineStr">
        <is>
          <t>1057-1075s | 202-217s | 1411-1422s | 1042-1057s | 1423-1441s</t>
        </is>
      </c>
      <c r="L2" s="25" t="inlineStr">
        <is>
          <t>N</t>
        </is>
      </c>
      <c r="M2" s="8" t="inlineStr">
        <is>
          <t>matched</t>
        </is>
      </c>
      <c r="N2" s="8" t="n">
        <v>15</v>
      </c>
      <c r="O2" s="8" t="n">
        <v>0.7044</v>
      </c>
      <c r="P2" s="8" t="inlineStr">
        <is>
          <t>N</t>
        </is>
      </c>
      <c r="Q2" s="8" t="n">
        <v>12.59</v>
      </c>
      <c r="R2" s="26" t="n">
        <v>5</v>
      </c>
      <c r="S2" s="26" t="n">
        <v>5</v>
      </c>
      <c r="T2" s="26" t="n">
        <v>4</v>
      </c>
      <c r="U2" s="26" t="n">
        <v>5</v>
      </c>
      <c r="V2" s="26" t="n">
        <v>5</v>
      </c>
      <c r="W2" s="26" t="n">
        <v>5</v>
      </c>
      <c r="X2" s="26" t="inlineStr">
        <is>
          <t>N</t>
        </is>
      </c>
      <c r="Y2" s="24">
        <f>IF(COUNT(R2:W2)&lt;6,"",IF(X2="Y",MIN(2,R2*0.3+S2*0.2+T2*0.15+U2*0.15+V2*0.1+W2*0.1),R2*0.3+S2*0.2+T2*0.15+U2*0.15+V2*0.1+W2*0.1))</f>
        <v/>
      </c>
      <c r="Z2" s="12" t="inlineStr">
        <is>
          <t>A5：24GB 與逐字稿完全一致。B5：整句出自 1057-1075s，無外部知識。C4：未提到老師是拿 4090 當後續比較基準的脈絡。D5：影片正確，1057-1075s 落在 gold 區間內，誤差 0 秒。E5：一句話講完。F5：資料充足且正常回答。</t>
        </is>
      </c>
      <c r="AA2" s="12" t="n"/>
      <c r="AB2" s="12" t="n"/>
    </row>
    <row r="3" ht="150" customHeight="1">
      <c r="A3" s="6" t="inlineStr">
        <is>
          <t>F03</t>
        </is>
      </c>
      <c r="B3" s="6" t="inlineStr">
        <is>
          <t>單片段事實</t>
        </is>
      </c>
      <c r="C3" s="6" t="inlineStr">
        <is>
          <t>中</t>
        </is>
      </c>
      <c r="D3" s="7" t="inlineStr">
        <is>
          <t>OpenAI 的模型訓練一次大約要花多少錢？</t>
        </is>
      </c>
      <c r="E3" s="7" t="inlineStr">
        <is>
          <t>約 1700 萬台幣訓練一次，而且訓練一次不代表會成功。</t>
        </is>
      </c>
      <c r="F3" s="6" t="inlineStr">
        <is>
          <t>V1</t>
        </is>
      </c>
      <c r="G3" s="7" t="inlineStr">
        <is>
          <t>1693-1735</t>
        </is>
      </c>
      <c r="H3" s="6" t="inlineStr">
        <is>
          <t>N</t>
        </is>
      </c>
      <c r="I3" s="8" t="inlineStr">
        <is>
          <t>OpenAI 的模型訓練一次的成本大約需要 1700 萬台幣。
(依據：aiA10_1140119_1 1693.01-1735.35s)</t>
        </is>
      </c>
      <c r="J3" s="8" t="inlineStr">
        <is>
          <t>aiA10_1140119_1 | aiA10_1140119_5 | aiA10_1140119_2 | aiA10_1140119_4</t>
        </is>
      </c>
      <c r="K3" s="8" t="inlineStr">
        <is>
          <t>1693-1713s | 1713-1735s | 1382-1394s | 59-70s | 1549-1564s</t>
        </is>
      </c>
      <c r="L3" s="25" t="inlineStr">
        <is>
          <t>N</t>
        </is>
      </c>
      <c r="M3" s="8" t="inlineStr">
        <is>
          <t>matched</t>
        </is>
      </c>
      <c r="N3" s="8" t="n">
        <v>15</v>
      </c>
      <c r="O3" s="8" t="n">
        <v>0.7514</v>
      </c>
      <c r="P3" s="8" t="inlineStr">
        <is>
          <t>N</t>
        </is>
      </c>
      <c r="Q3" s="8" t="n">
        <v>12.22</v>
      </c>
      <c r="R3" s="26" t="n">
        <v>5</v>
      </c>
      <c r="S3" s="26" t="n">
        <v>5</v>
      </c>
      <c r="T3" s="26" t="n">
        <v>4</v>
      </c>
      <c r="U3" s="26" t="n">
        <v>5</v>
      </c>
      <c r="V3" s="26" t="n">
        <v>5</v>
      </c>
      <c r="W3" s="26" t="n">
        <v>5</v>
      </c>
      <c r="X3" s="26" t="inlineStr">
        <is>
          <t>N</t>
        </is>
      </c>
      <c r="Y3" s="24">
        <f>IF(COUNT(R3:W3)&lt;6,"",IF(X3="Y",MIN(2,R3*0.3+S3*0.2+T3*0.15+U3*0.15+V3*0.1+W3*0.1),R3*0.3+S3*0.2+T3*0.15+U3*0.15+V3*0.1+W3*0.1))</f>
        <v/>
      </c>
      <c r="Z3" s="12" t="inlineStr">
        <is>
          <t>A5：1700 萬台幣正確。B5：完全出自 1693-1735s。C4：漏掉 gold 的「訓練一次不代表會成功」。D5：依據精準。E5：精簡。F5：判斷正確。</t>
        </is>
      </c>
      <c r="AA3" s="12" t="n"/>
      <c r="AB3" s="12" t="n"/>
    </row>
    <row r="4" ht="150" customHeight="1">
      <c r="A4" s="6" t="inlineStr">
        <is>
          <t>F04</t>
        </is>
      </c>
      <c r="B4" s="6" t="inlineStr">
        <is>
          <t>單片段事實</t>
        </is>
      </c>
      <c r="C4" s="6" t="inlineStr">
        <is>
          <t>中</t>
        </is>
      </c>
      <c r="D4" s="7" t="inlineStr">
        <is>
          <t>A100 一張大約多少錢？</t>
        </is>
      </c>
      <c r="E4" s="7" t="inlineStr">
        <is>
          <t>輝達賣給簽約夥伴的定價當時約 40 多萬一張；實際流通到市面上大約「六開頭」（約 60 萬）一張。一般人買不到，要跟簽約廠商大量出貨。</t>
        </is>
      </c>
      <c r="F4" s="6" t="inlineStr">
        <is>
          <t>V1</t>
        </is>
      </c>
      <c r="G4" s="7" t="inlineStr">
        <is>
          <t>1112-1245</t>
        </is>
      </c>
      <c r="H4" s="6" t="inlineStr">
        <is>
          <t>N</t>
        </is>
      </c>
      <c r="I4" s="8" t="inlineStr">
        <is>
          <t>A100 的單價較為混亂，且輝達並不賣給一般人。當時賣給簽約夥伴的定價大約是一張 40 多萬，而真正到市面上大約是一張六開頭，大約是 60 萬。
(依據：aiA10_1140119_1 992.67-1011.17s、1128.71-1144.01s、1231.29-1245.03s)</t>
        </is>
      </c>
      <c r="J4" s="8" t="inlineStr">
        <is>
          <t>aiA10_1140119_1</t>
        </is>
      </c>
      <c r="K4" s="8" t="inlineStr">
        <is>
          <t>1096-1110s | 698-709s | 958-981s | 982-992s | 1144-1161s</t>
        </is>
      </c>
      <c r="L4" s="25" t="inlineStr">
        <is>
          <t>N</t>
        </is>
      </c>
      <c r="M4" s="8" t="inlineStr">
        <is>
          <t>matched</t>
        </is>
      </c>
      <c r="N4" s="8" t="n">
        <v>15</v>
      </c>
      <c r="O4" s="8" t="n">
        <v>0.6830000000000001</v>
      </c>
      <c r="P4" s="8" t="inlineStr">
        <is>
          <t>N</t>
        </is>
      </c>
      <c r="Q4" s="8" t="n">
        <v>15.16</v>
      </c>
      <c r="R4" s="26" t="n">
        <v>5</v>
      </c>
      <c r="S4" s="26" t="n">
        <v>5</v>
      </c>
      <c r="T4" s="26" t="n">
        <v>5</v>
      </c>
      <c r="U4" s="26" t="n">
        <v>5</v>
      </c>
      <c r="V4" s="26" t="n">
        <v>5</v>
      </c>
      <c r="W4" s="26" t="n">
        <v>5</v>
      </c>
      <c r="X4" s="26" t="inlineStr">
        <is>
          <t>N</t>
        </is>
      </c>
      <c r="Y4" s="24">
        <f>IF(COUNT(R4:W4)&lt;6,"",IF(X4="Y",MIN(2,R4*0.3+S4*0.2+T4*0.15+U4*0.15+V4*0.1+W4*0.1),R4*0.3+S4*0.2+T4*0.15+U4*0.15+V4*0.1+W4*0.1))</f>
        <v/>
      </c>
      <c r="Z4" s="12" t="inlineStr">
        <is>
          <t>A5：40 多萬定價與市價六開頭約 60 萬皆正確，並正確指出輝達不賣一般人。B5：三段依據皆在 matches 內。C5：gold 要點幾乎全覆蓋。D5：引用正確。E5：結構清楚。F5：判斷正確。</t>
        </is>
      </c>
      <c r="AA4" s="12" t="n"/>
      <c r="AB4" s="12" t="n"/>
    </row>
    <row r="5" ht="150" customHeight="1">
      <c r="A5" s="6" t="inlineStr">
        <is>
          <t>F05</t>
        </is>
      </c>
      <c r="B5" s="6" t="inlineStr">
        <is>
          <t>單片段事實</t>
        </is>
      </c>
      <c r="C5" s="6" t="inlineStr">
        <is>
          <t>易</t>
        </is>
      </c>
      <c r="D5" s="7" t="inlineStr">
        <is>
          <t>ChatGPT 是跑在哪裡的？</t>
        </is>
      </c>
      <c r="E5" s="7" t="inlineStr">
        <is>
          <t>跑在微軟的機房，微軟雲端服務 Azure 上面。</t>
        </is>
      </c>
      <c r="F5" s="6" t="inlineStr">
        <is>
          <t>V1</t>
        </is>
      </c>
      <c r="G5" s="7" t="inlineStr">
        <is>
          <t>1549-1583</t>
        </is>
      </c>
      <c r="H5" s="6" t="inlineStr">
        <is>
          <t>N</t>
        </is>
      </c>
      <c r="I5" s="8" t="inlineStr">
        <is>
          <t>ChatGPT 跑在微軟的機房，也就是微軟的雲端服務 ager，同時也跑在雲的機房並被放在雲上面。此外，它的機房是在 OpenAI 那邊。
(依據：aiA10_1140119_1 1564.55-1582.33s、aiA10_1140119_1 1582.73-1601.39s、aiA10_1140119_3 121.43-133.29s、aiA10_1140119_5 1486.14-1496.14s)</t>
        </is>
      </c>
      <c r="J5" s="8" t="inlineStr">
        <is>
          <t>aiA10_1140119_1 | aiA10_1140119_3 | aiA10_1140119_5 | aiA10_1140119_6</t>
        </is>
      </c>
      <c r="K5" s="8" t="inlineStr">
        <is>
          <t>1583-1601s | 1565-1582s | 1549-1564s | 121-133s | 1454-1469s</t>
        </is>
      </c>
      <c r="L5" s="25" t="inlineStr">
        <is>
          <t>N</t>
        </is>
      </c>
      <c r="M5" s="8" t="inlineStr">
        <is>
          <t>matched</t>
        </is>
      </c>
      <c r="N5" s="8" t="n">
        <v>15</v>
      </c>
      <c r="O5" s="8" t="n">
        <v>0.6893</v>
      </c>
      <c r="P5" s="8" t="inlineStr">
        <is>
          <t>N</t>
        </is>
      </c>
      <c r="Q5" s="8" t="n">
        <v>17.38</v>
      </c>
      <c r="R5" s="26" t="n">
        <v>3</v>
      </c>
      <c r="S5" s="26" t="n">
        <v>5</v>
      </c>
      <c r="T5" s="26" t="n">
        <v>3</v>
      </c>
      <c r="U5" s="26" t="n">
        <v>4</v>
      </c>
      <c r="V5" s="26" t="n">
        <v>3</v>
      </c>
      <c r="W5" s="26" t="n">
        <v>5</v>
      </c>
      <c r="X5" s="26" t="inlineStr">
        <is>
          <t>N</t>
        </is>
      </c>
      <c r="Y5" s="24">
        <f>IF(COUNT(R5:W5)&lt;6,"",IF(X5="Y",MIN(2,R5*0.3+S5*0.2+T5*0.15+U5*0.15+V5*0.1+W5*0.1),R5*0.3+S5*0.2+T5*0.15+U5*0.15+V5*0.1+W5*0.1))</f>
        <v/>
      </c>
      <c r="Z5" s="12" t="inlineStr">
        <is>
          <t>A3：主體「跑在微軟機房 / Azure」正確，但結尾又說「它的機房是在 OpenAI 那邊」，與前文矛盾——那句出自 V3 121-133s 老師的口語表述，被當成並列事實拼進來。B5：每句都能在片段找到出處，沒有幻覺。C3：把不相干的陳述當成答案的一部分。D4：影片時間正確，但多引了 V5 1486-1496s 這段與本題無關。E3：STT 誤寫的「ager」未對齊成 Azure，且自相矛盾，學生會看不懂。F5：正常回答。</t>
        </is>
      </c>
      <c r="AA5" s="12" t="n"/>
      <c r="AB5" s="12" t="n"/>
    </row>
    <row r="6" ht="150" customHeight="1">
      <c r="A6" s="6" t="inlineStr">
        <is>
          <t>F06</t>
        </is>
      </c>
      <c r="B6" s="6" t="inlineStr">
        <is>
          <t>單片段事實</t>
        </is>
      </c>
      <c r="C6" s="6" t="inlineStr">
        <is>
          <t>易</t>
        </is>
      </c>
      <c r="D6" s="7" t="inlineStr">
        <is>
          <t>圖靈測試是什麼時候提出來的？</t>
        </is>
      </c>
      <c r="E6" s="7" t="inlineStr">
        <is>
          <t>1950 年提出，距今約 65 年。老師認為這個標準太落後，看到「通過圖靈測試」的新聞不用理它。</t>
        </is>
      </c>
      <c r="F6" s="6" t="inlineStr">
        <is>
          <t>V2</t>
        </is>
      </c>
      <c r="G6" s="7" t="inlineStr">
        <is>
          <t>462-504</t>
        </is>
      </c>
      <c r="H6" s="6" t="inlineStr">
        <is>
          <t>N</t>
        </is>
      </c>
      <c r="I6" s="8" t="inlineStr">
        <is>
          <t>圖靈測試是在1950年（距今65年前）被提出來的。
（依據：aiA10_1140119_2 462.25-476.25s）</t>
        </is>
      </c>
      <c r="J6" s="8" t="inlineStr">
        <is>
          <t>aiA10_1140119_2 | aiA10_1140119_3 | aiA10_1140119_6</t>
        </is>
      </c>
      <c r="K6" s="8" t="inlineStr">
        <is>
          <t>462-476s | 413-425s | 491-504s | 387-398s | 477-491s</t>
        </is>
      </c>
      <c r="L6" s="25" t="inlineStr">
        <is>
          <t>N</t>
        </is>
      </c>
      <c r="M6" s="8" t="inlineStr">
        <is>
          <t>matched</t>
        </is>
      </c>
      <c r="N6" s="8" t="n">
        <v>15</v>
      </c>
      <c r="O6" s="8" t="n">
        <v>0.7316</v>
      </c>
      <c r="P6" s="8" t="inlineStr">
        <is>
          <t>N</t>
        </is>
      </c>
      <c r="Q6" s="8" t="n">
        <v>11.82</v>
      </c>
      <c r="R6" s="26" t="n">
        <v>5</v>
      </c>
      <c r="S6" s="26" t="n">
        <v>5</v>
      </c>
      <c r="T6" s="26" t="n">
        <v>4</v>
      </c>
      <c r="U6" s="26" t="n">
        <v>5</v>
      </c>
      <c r="V6" s="26" t="n">
        <v>5</v>
      </c>
      <c r="W6" s="26" t="n">
        <v>5</v>
      </c>
      <c r="X6" s="26" t="inlineStr">
        <is>
          <t>N</t>
        </is>
      </c>
      <c r="Y6" s="24">
        <f>IF(COUNT(R6:W6)&lt;6,"",IF(X6="Y",MIN(2,R6*0.3+S6*0.2+T6*0.15+U6*0.15+V6*0.1+W6*0.1),R6*0.3+S6*0.2+T6*0.15+U6*0.15+V6*0.1+W6*0.1))</f>
        <v/>
      </c>
      <c r="Z6" s="12" t="inlineStr">
        <is>
          <t>A5：1950 年、65 年前皆正確。B5：出自 462-476s。C4：漏掉老師「這標準太落後、新聞不用理它」的評論。D5：引用精準。E5：一句話。F5：判斷正確。</t>
        </is>
      </c>
      <c r="AA6" s="12" t="n"/>
      <c r="AB6" s="12" t="n"/>
    </row>
    <row r="7" ht="150" customHeight="1">
      <c r="A7" s="6" t="inlineStr">
        <is>
          <t>F07</t>
        </is>
      </c>
      <c r="B7" s="6" t="inlineStr">
        <is>
          <t>單片段事實</t>
        </is>
      </c>
      <c r="C7" s="6" t="inlineStr">
        <is>
          <t>易</t>
        </is>
      </c>
      <c r="D7" s="7" t="inlineStr">
        <is>
          <t>深度學習使用的神經網路是什麼時候被提出來的？</t>
        </is>
      </c>
      <c r="E7" s="7" t="inlineStr">
        <is>
          <t>1980 年被提出，距離現在快 40 年，不是新東西。</t>
        </is>
      </c>
      <c r="F7" s="6" t="inlineStr">
        <is>
          <t>V2</t>
        </is>
      </c>
      <c r="G7" s="7" t="inlineStr">
        <is>
          <t>517-545</t>
        </is>
      </c>
      <c r="H7" s="6" t="inlineStr">
        <is>
          <t>N</t>
        </is>
      </c>
      <c r="I7" s="8" t="inlineStr">
        <is>
          <t>深度學習所使用的神經網路是在 1980 年被提出來的。
(依據：aiA10_1140119_2 517.21-534.61s)</t>
        </is>
      </c>
      <c r="J7" s="8" t="inlineStr">
        <is>
          <t>aiA10_1140119_2 | aiA10_1140119_6 | aiA10_1140119_4 | aiA10_1140119_5</t>
        </is>
      </c>
      <c r="K7" s="8" t="inlineStr">
        <is>
          <t>517-535s | 546-557s | 717-737s | 462-476s | 738-751s</t>
        </is>
      </c>
      <c r="L7" s="25" t="inlineStr">
        <is>
          <t>N</t>
        </is>
      </c>
      <c r="M7" s="8" t="inlineStr">
        <is>
          <t>matched</t>
        </is>
      </c>
      <c r="N7" s="8" t="n">
        <v>15</v>
      </c>
      <c r="O7" s="8" t="n">
        <v>0.6589</v>
      </c>
      <c r="P7" s="8" t="inlineStr">
        <is>
          <t>N</t>
        </is>
      </c>
      <c r="Q7" s="8" t="n">
        <v>11.26</v>
      </c>
      <c r="R7" s="26" t="n">
        <v>5</v>
      </c>
      <c r="S7" s="26" t="n">
        <v>5</v>
      </c>
      <c r="T7" s="26" t="n">
        <v>4</v>
      </c>
      <c r="U7" s="26" t="n">
        <v>5</v>
      </c>
      <c r="V7" s="26" t="n">
        <v>5</v>
      </c>
      <c r="W7" s="26" t="n">
        <v>5</v>
      </c>
      <c r="X7" s="26" t="inlineStr">
        <is>
          <t>N</t>
        </is>
      </c>
      <c r="Y7" s="24">
        <f>IF(COUNT(R7:W7)&lt;6,"",IF(X7="Y",MIN(2,R7*0.3+S7*0.2+T7*0.15+U7*0.15+V7*0.1+W7*0.1),R7*0.3+S7*0.2+T7*0.15+U7*0.15+V7*0.1+W7*0.1))</f>
        <v/>
      </c>
      <c r="Z7" s="12" t="inlineStr">
        <is>
          <t>A5：1980 年正確。B5：出自 517-535s。C4：漏掉「距今快 40 年、不是新東西」的重點。D5：引用精準。E5：精簡。F5：判斷正確。</t>
        </is>
      </c>
      <c r="AA7" s="12" t="n"/>
      <c r="AB7" s="12" t="n"/>
    </row>
    <row r="8" ht="150" customHeight="1">
      <c r="A8" s="6" t="inlineStr">
        <is>
          <t>F08</t>
        </is>
      </c>
      <c r="B8" s="6" t="inlineStr">
        <is>
          <t>單片段事實</t>
        </is>
      </c>
      <c r="C8" s="6" t="inlineStr">
        <is>
          <t>中</t>
        </is>
      </c>
      <c r="D8" s="7" t="inlineStr">
        <is>
          <t>Llama 3 最小的模型是哪個版本？需要多少記憶體？</t>
        </is>
      </c>
      <c r="E8" s="7" t="inlineStr">
        <is>
          <t>Llama 3 的 8 Billion（8B）版本，需要的記憶體大約 16GB，單機用 4090 就負擔得起，中文理解能力也還可以。</t>
        </is>
      </c>
      <c r="F8" s="6" t="inlineStr">
        <is>
          <t>V3</t>
        </is>
      </c>
      <c r="G8" s="7" t="inlineStr">
        <is>
          <t>180-234</t>
        </is>
      </c>
      <c r="H8" s="6" t="inlineStr">
        <is>
          <t>N</t>
        </is>
      </c>
      <c r="I8" s="8" t="inlineStr">
        <is>
          <t>Llama 3 最小的模型是 8 Billion（8個Billion）的版本，該版本需要的記憶體大小大概是 16G。
(依據：aiA10_1140119_3 180.08-201.28s、201.58-216.98s)</t>
        </is>
      </c>
      <c r="J8" s="8" t="inlineStr">
        <is>
          <t>aiA10_1140119_3 | aiA10_1140119_2 | aiA10_1140119_1 | aiA10_1140119_4 | aiA10_1140119_5</t>
        </is>
      </c>
      <c r="K8" s="8" t="inlineStr">
        <is>
          <t>180-201s | 202-217s | 155-180s | 134-154s | 59-70s</t>
        </is>
      </c>
      <c r="L8" s="25" t="inlineStr">
        <is>
          <t>N</t>
        </is>
      </c>
      <c r="M8" s="8" t="inlineStr">
        <is>
          <t>matched</t>
        </is>
      </c>
      <c r="N8" s="8" t="n">
        <v>15</v>
      </c>
      <c r="O8" s="8" t="n">
        <v>0.6738</v>
      </c>
      <c r="P8" s="8" t="inlineStr">
        <is>
          <t>N</t>
        </is>
      </c>
      <c r="Q8" s="8" t="n">
        <v>10.87</v>
      </c>
      <c r="R8" s="26" t="n">
        <v>5</v>
      </c>
      <c r="S8" s="26" t="n">
        <v>5</v>
      </c>
      <c r="T8" s="26" t="n">
        <v>4</v>
      </c>
      <c r="U8" s="26" t="n">
        <v>5</v>
      </c>
      <c r="V8" s="26" t="n">
        <v>5</v>
      </c>
      <c r="W8" s="26" t="n">
        <v>5</v>
      </c>
      <c r="X8" s="26" t="inlineStr">
        <is>
          <t>N</t>
        </is>
      </c>
      <c r="Y8" s="24">
        <f>IF(COUNT(R8:W8)&lt;6,"",IF(X8="Y",MIN(2,R8*0.3+S8*0.2+T8*0.15+U8*0.15+V8*0.1+W8*0.1),R8*0.3+S8*0.2+T8*0.15+U8*0.15+V8*0.1+W8*0.1))</f>
        <v/>
      </c>
      <c r="Z8" s="12" t="inlineStr">
        <is>
          <t>A5：8B 版本與 16G 記憶體皆正確。B5：兩段依據都在 matches 內。C4：漏掉「單機 4090 可跑」與「中文理解能力還可以」。D5：引用精準。E5：結構清楚。F5：判斷正確。</t>
        </is>
      </c>
      <c r="AA8" s="12" t="n"/>
      <c r="AB8" s="12" t="n"/>
    </row>
    <row r="9" ht="150" customHeight="1">
      <c r="A9" s="6" t="inlineStr">
        <is>
          <t>F09</t>
        </is>
      </c>
      <c r="B9" s="6" t="inlineStr">
        <is>
          <t>單片段事實</t>
        </is>
      </c>
      <c r="C9" s="6" t="inlineStr">
        <is>
          <t>易</t>
        </is>
      </c>
      <c r="D9" s="7" t="inlineStr">
        <is>
          <t>Llama 是哪家公司開源的？這個字什麼意思？</t>
        </is>
      </c>
      <c r="E9" s="7" t="inlineStr">
        <is>
          <t>Meta（做 Facebook、IG 的公司）訓練並開源；llama 的意思是羊駝。</t>
        </is>
      </c>
      <c r="F9" s="6" t="inlineStr">
        <is>
          <t>V3</t>
        </is>
      </c>
      <c r="G9" s="7" t="inlineStr">
        <is>
          <t>155-201</t>
        </is>
      </c>
      <c r="H9" s="6" t="inlineStr">
        <is>
          <t>N</t>
        </is>
      </c>
      <c r="I9" s="8" t="inlineStr">
        <is>
          <t>Llama（拉馬）是由 Meta 公司訓練並開源的，這個字的意思是「羊駝」。
(依據：aiA10_1140119_3 154.8-179.88s)</t>
        </is>
      </c>
      <c r="J9" s="8" t="inlineStr">
        <is>
          <t>aiA10_1140119_3 | aiA10_1140119_5 | aiA10_1140119_2 | aiA10_1140119_1 | aiA10_1140119_6</t>
        </is>
      </c>
      <c r="K9" s="8" t="inlineStr">
        <is>
          <t>155-180s | 180-201s | 1394-1405s | 1545-1562s | 582-594s</t>
        </is>
      </c>
      <c r="L9" s="25" t="inlineStr">
        <is>
          <t>N</t>
        </is>
      </c>
      <c r="M9" s="8" t="inlineStr">
        <is>
          <t>matched</t>
        </is>
      </c>
      <c r="N9" s="8" t="n">
        <v>15</v>
      </c>
      <c r="O9" s="8" t="n">
        <v>0.7437</v>
      </c>
      <c r="P9" s="8" t="inlineStr">
        <is>
          <t>N</t>
        </is>
      </c>
      <c r="Q9" s="8" t="n">
        <v>11.68</v>
      </c>
      <c r="R9" s="26" t="n">
        <v>5</v>
      </c>
      <c r="S9" s="26" t="n">
        <v>5</v>
      </c>
      <c r="T9" s="26" t="n">
        <v>5</v>
      </c>
      <c r="U9" s="26" t="n">
        <v>5</v>
      </c>
      <c r="V9" s="26" t="n">
        <v>5</v>
      </c>
      <c r="W9" s="26" t="n">
        <v>5</v>
      </c>
      <c r="X9" s="26" t="inlineStr">
        <is>
          <t>N</t>
        </is>
      </c>
      <c r="Y9" s="24">
        <f>IF(COUNT(R9:W9)&lt;6,"",IF(X9="Y",MIN(2,R9*0.3+S9*0.2+T9*0.15+U9*0.15+V9*0.1+W9*0.1),R9*0.3+S9*0.2+T9*0.15+U9*0.15+V9*0.1+W9*0.1))</f>
        <v/>
      </c>
      <c r="Z9" s="12" t="inlineStr">
        <is>
          <t>A5：Meta 開源、llama 意為羊駝，兩問都答對。B5：完全出自 155-180s。C5：gold 要點全覆蓋。D5：引用精準。E5：一句話講完兩個問題。F5：判斷正確。</t>
        </is>
      </c>
      <c r="AA9" s="12" t="n"/>
      <c r="AB9" s="12" t="n"/>
    </row>
    <row r="10" ht="150" customHeight="1">
      <c r="A10" s="6" t="inlineStr">
        <is>
          <t>F10</t>
        </is>
      </c>
      <c r="B10" s="6" t="inlineStr">
        <is>
          <t>單片段事實</t>
        </is>
      </c>
      <c r="C10" s="6" t="inlineStr">
        <is>
          <t>中</t>
        </is>
      </c>
      <c r="D10" s="7" t="inlineStr">
        <is>
          <t>Sony 的 PSN 資料外洩事件有多少帳號被洩露？罰了多少錢？</t>
        </is>
      </c>
      <c r="E10" s="7" t="inlineStr">
        <is>
          <t>約 2460 萬名使用者的帳號被洩露，被罰一千多萬台幣，而且是一罪一罰、洩露一筆罰一次。事件大約發生在 10 年前的歐洲。</t>
        </is>
      </c>
      <c r="F10" s="6" t="inlineStr">
        <is>
          <t>V3</t>
        </is>
      </c>
      <c r="G10" s="7" t="inlineStr">
        <is>
          <t>440-498</t>
        </is>
      </c>
      <c r="H10" s="6" t="inlineStr">
        <is>
          <t>N</t>
        </is>
      </c>
      <c r="I10" s="8" t="inlineStr">
        <is>
          <t>Sony 的 PSN 資料外洩事件中，共有 2460 萬個使用者帳號被洩露，並被罰了一千多萬台幣。
（依據：aiA10_1140119_3 458.73-484.47s、485.07-498.03s）</t>
        </is>
      </c>
      <c r="J10" s="8" t="inlineStr">
        <is>
          <t>aiA10_1140119_3 | aiA10_1140119_5 | aiA10_1140119_1 | aiA10_1140119_2 | aiA10_1140119_4</t>
        </is>
      </c>
      <c r="K10" s="8" t="inlineStr">
        <is>
          <t>485-498s | 365-382s | 459-484s | 440-458s | 395-411s</t>
        </is>
      </c>
      <c r="L10" s="25" t="inlineStr">
        <is>
          <t>N</t>
        </is>
      </c>
      <c r="M10" s="8" t="inlineStr">
        <is>
          <t>matched</t>
        </is>
      </c>
      <c r="N10" s="8" t="n">
        <v>15</v>
      </c>
      <c r="O10" s="8" t="n">
        <v>0.6301</v>
      </c>
      <c r="P10" s="8" t="inlineStr">
        <is>
          <t>N</t>
        </is>
      </c>
      <c r="Q10" s="8" t="n">
        <v>11.89</v>
      </c>
      <c r="R10" s="26" t="n">
        <v>5</v>
      </c>
      <c r="S10" s="26" t="n">
        <v>5</v>
      </c>
      <c r="T10" s="26" t="n">
        <v>4</v>
      </c>
      <c r="U10" s="26" t="n">
        <v>5</v>
      </c>
      <c r="V10" s="26" t="n">
        <v>5</v>
      </c>
      <c r="W10" s="26" t="n">
        <v>5</v>
      </c>
      <c r="X10" s="26" t="inlineStr">
        <is>
          <t>N</t>
        </is>
      </c>
      <c r="Y10" s="24">
        <f>IF(COUNT(R10:W10)&lt;6,"",IF(X10="Y",MIN(2,R10*0.3+S10*0.2+T10*0.15+U10*0.15+V10*0.1+W10*0.1),R10*0.3+S10*0.2+T10*0.15+U10*0.15+V10*0.1+W10*0.1))</f>
        <v/>
      </c>
      <c r="Z10" s="12" t="inlineStr">
        <is>
          <t>A5：2460 萬帳號、罰一千多萬皆正確。B5：兩段依據皆在 matches 內。C4：漏掉「一罪一罰、洩露一筆罰一次」。D5：引用精準。E5：精簡。F5：判斷正確。</t>
        </is>
      </c>
      <c r="AA10" s="12" t="n"/>
      <c r="AB10" s="12" t="n"/>
    </row>
    <row r="11" ht="150" customHeight="1">
      <c r="A11" s="6" t="inlineStr">
        <is>
          <t>F11</t>
        </is>
      </c>
      <c r="B11" s="6" t="inlineStr">
        <is>
          <t>單片段事實</t>
        </is>
      </c>
      <c r="C11" s="6" t="inlineStr">
        <is>
          <t>中</t>
        </is>
      </c>
      <c r="D11" s="7" t="inlineStr">
        <is>
          <t>BERT 的詞向量有幾個維度？</t>
        </is>
      </c>
      <c r="E11" s="7" t="inlineStr">
        <is>
          <t>768 個數字（768 維）。</t>
        </is>
      </c>
      <c r="F11" s="6" t="inlineStr">
        <is>
          <t>V6</t>
        </is>
      </c>
      <c r="G11" s="7" t="inlineStr">
        <is>
          <t>1531-1574</t>
        </is>
      </c>
      <c r="H11" s="6" t="inlineStr">
        <is>
          <t>N</t>
        </is>
      </c>
      <c r="I11" s="8" t="inlineStr">
        <is>
          <t>BERT 模型的向量有 768 個數字（維度）。
(依據：aiA10_1140119_6 1530.68-1541.48s、1541.68-1558.86s)</t>
        </is>
      </c>
      <c r="J11" s="8" t="inlineStr">
        <is>
          <t>aiA10_1140119_6 | aiA10_1140119_5 | aiA10_1140119_2 | aiA10_1140119_4</t>
        </is>
      </c>
      <c r="K11" s="8" t="inlineStr">
        <is>
          <t>1531-1541s | 1180-1195s | 2012-2025s | 1052-1067s | 1300-1311s</t>
        </is>
      </c>
      <c r="L11" s="25" t="inlineStr">
        <is>
          <t>N</t>
        </is>
      </c>
      <c r="M11" s="8" t="inlineStr">
        <is>
          <t>matched</t>
        </is>
      </c>
      <c r="N11" s="8" t="n">
        <v>15</v>
      </c>
      <c r="O11" s="8" t="n">
        <v>0.6137</v>
      </c>
      <c r="P11" s="8" t="inlineStr">
        <is>
          <t>N</t>
        </is>
      </c>
      <c r="Q11" s="8" t="n">
        <v>11.9</v>
      </c>
      <c r="R11" s="26" t="n">
        <v>5</v>
      </c>
      <c r="S11" s="26" t="n">
        <v>5</v>
      </c>
      <c r="T11" s="26" t="n">
        <v>5</v>
      </c>
      <c r="U11" s="26" t="n">
        <v>5</v>
      </c>
      <c r="V11" s="26" t="n">
        <v>5</v>
      </c>
      <c r="W11" s="26" t="n">
        <v>5</v>
      </c>
      <c r="X11" s="26" t="inlineStr">
        <is>
          <t>N</t>
        </is>
      </c>
      <c r="Y11" s="24">
        <f>IF(COUNT(R11:W11)&lt;6,"",IF(X11="Y",MIN(2,R11*0.3+S11*0.2+T11*0.15+U11*0.15+V11*0.1+W11*0.1),R11*0.3+S11*0.2+T11*0.15+U11*0.15+V11*0.1+W11*0.1))</f>
        <v/>
      </c>
      <c r="Z11" s="12" t="inlineStr">
        <is>
          <t>A5：768 維正確。B5：出自 1531-1541s。C5：這題 gold 只有一個要點，已完整。D5：引用精準。E5：一句話。F5：判斷正確。</t>
        </is>
      </c>
      <c r="AA11" s="12" t="n"/>
      <c r="AB11" s="12" t="n"/>
    </row>
    <row r="12" ht="150" customHeight="1">
      <c r="A12" s="6" t="inlineStr">
        <is>
          <t>F12</t>
        </is>
      </c>
      <c r="B12" s="6" t="inlineStr">
        <is>
          <t>單片段事實</t>
        </is>
      </c>
      <c r="C12" s="6" t="inlineStr">
        <is>
          <t>中</t>
        </is>
      </c>
      <c r="D12" s="7" t="inlineStr">
        <is>
          <t>Transformer 的經典論文叫什麼？被引用多少次？</t>
        </is>
      </c>
      <c r="E12" s="7" t="inlineStr">
        <is>
          <t>論文名稱是 Attention is all you need，2017 年由 Google 發表，引用次數約 15 萬次，論文本身已改到第七版。作者是一位工程師帶兩位實習生。</t>
        </is>
      </c>
      <c r="F12" s="6" t="inlineStr">
        <is>
          <t>V5</t>
        </is>
      </c>
      <c r="G12" s="7" t="inlineStr">
        <is>
          <t>1635-1770</t>
        </is>
      </c>
      <c r="H12" s="6" t="inlineStr">
        <is>
          <t>N</t>
        </is>
      </c>
      <c r="I12" s="8" t="inlineStr">
        <is>
          <t>Transformer 的經典論文名為《Tension is all you need》，其引用次數為「各十百千萬十萬十四」。
（依據：aiA10_1140119_5 1693.4-1707.47s、1734.47-1744.47s）</t>
        </is>
      </c>
      <c r="J12" s="8" t="inlineStr">
        <is>
          <t>aiA10_1140119_5 | aiA10_1140119_4 | aiA10_1140119_6 | aiA10_1140119_2</t>
        </is>
      </c>
      <c r="K12" s="8" t="inlineStr">
        <is>
          <t>1693-1707s | 1734-1744s | 1781-1797s | 1770-1781s | 1426-1433s</t>
        </is>
      </c>
      <c r="L12" s="25" t="inlineStr">
        <is>
          <t>N</t>
        </is>
      </c>
      <c r="M12" s="8" t="inlineStr">
        <is>
          <t>matched</t>
        </is>
      </c>
      <c r="N12" s="8" t="n">
        <v>15</v>
      </c>
      <c r="O12" s="8" t="n">
        <v>0.6233</v>
      </c>
      <c r="P12" s="8" t="inlineStr">
        <is>
          <t>N</t>
        </is>
      </c>
      <c r="Q12" s="8" t="n">
        <v>16.8</v>
      </c>
      <c r="R12" s="26" t="n">
        <v>2</v>
      </c>
      <c r="S12" s="26" t="n">
        <v>5</v>
      </c>
      <c r="T12" s="26" t="n">
        <v>2</v>
      </c>
      <c r="U12" s="26" t="n">
        <v>5</v>
      </c>
      <c r="V12" s="26" t="n">
        <v>1</v>
      </c>
      <c r="W12" s="26" t="n">
        <v>3</v>
      </c>
      <c r="X12" s="26" t="inlineStr">
        <is>
          <t>N</t>
        </is>
      </c>
      <c r="Y12" s="24">
        <f>IF(COUNT(R12:W12)&lt;6,"",IF(X12="Y",MIN(2,R12*0.3+S12*0.2+T12*0.15+U12*0.15+V12*0.1+W12*0.1),R12*0.3+S12*0.2+T12*0.15+U12*0.15+V12*0.1+W12*0.1))</f>
        <v/>
      </c>
      <c r="Z12" s="12" t="inlineStr">
        <is>
          <t>A2：論文名沿用 STT 誤寫的「Tension is all you need」未對齊成 Attention（prompt 規則 4 失效）；「引用次數」更直接把逐字稿老師口頭數數的過程「各十百千萬十萬十四」原樣貼出，等於沒有回答被問到的數字。B5：內容確實出自片段，沒有編造。C2：兩個問題都只答到表面，年份與版本次數全漏。D5：1693-1707s、1734-1744s 引用正確。E1：直接貼逐字稿、輸出無法閱讀的字串，正是 E1 的定義。F3：該答有答，但實質等於沒答到。</t>
        </is>
      </c>
      <c r="AA12" s="12" t="n"/>
      <c r="AB12" s="12" t="n"/>
    </row>
    <row r="13" ht="150" customHeight="1">
      <c r="A13" s="6" t="inlineStr">
        <is>
          <t>F15</t>
        </is>
      </c>
      <c r="B13" s="6" t="inlineStr">
        <is>
          <t>單片段事實</t>
        </is>
      </c>
      <c r="C13" s="6" t="inlineStr">
        <is>
          <t>中</t>
        </is>
      </c>
      <c r="D13" s="7" t="inlineStr">
        <is>
          <t>ChatGPT 免費版和付費版用的模型有什麼不同？</t>
        </is>
      </c>
      <c r="E13" s="7" t="inlineStr">
        <is>
          <t>免費用戶使用 GPT-4o mini（簡化版），付費用戶才能使用完整版 GPT-4o；完整版的回答與理解能力比較強。</t>
        </is>
      </c>
      <c r="F13" s="6" t="inlineStr">
        <is>
          <t>V4</t>
        </is>
      </c>
      <c r="G13" s="7" t="inlineStr">
        <is>
          <t>838-879</t>
        </is>
      </c>
      <c r="H13" s="6" t="inlineStr">
        <is>
          <t>N</t>
        </is>
      </c>
      <c r="I13" s="8" t="inlineStr">
        <is>
          <t>ChatGPT 免費版與付費版所使用的模型差異如下：
1. **免費版**：一般不付費的免費用戶使用的是簡化版的 GVD4O mini 模型。
2. **付費版**：付費版可以使用的模型較多，且模型能力較強。付費用戶可以使用完整版的 GVD4O 模型，其回答能力更佳。
(依據：aiA10_1140119_1 1631.59-1646.07s、aiA10_1140119_4 838.2-849.2s、aiA10_1140119_4 849.2-865.2s、aiA10_1140119_4 865.2-879.2s)</t>
        </is>
      </c>
      <c r="J13" s="8" t="inlineStr">
        <is>
          <t>aiA10_1140119_1 | aiA10_1140119_4 | aiA10_1140119_2 | aiA10_1140119_5 | aiA10_1140119_3</t>
        </is>
      </c>
      <c r="K13" s="8" t="inlineStr">
        <is>
          <t>1632-1646s | 865-879s | 838-849s | 737-749s | 826-838s</t>
        </is>
      </c>
      <c r="L13" s="25" t="inlineStr">
        <is>
          <t>N</t>
        </is>
      </c>
      <c r="M13" s="8" t="inlineStr">
        <is>
          <t>matched</t>
        </is>
      </c>
      <c r="N13" s="8" t="n">
        <v>15</v>
      </c>
      <c r="O13" s="8" t="n">
        <v>0.6821</v>
      </c>
      <c r="P13" s="8" t="inlineStr">
        <is>
          <t>N</t>
        </is>
      </c>
      <c r="Q13" s="8" t="n">
        <v>14.32</v>
      </c>
      <c r="R13" s="26" t="n">
        <v>4</v>
      </c>
      <c r="S13" s="26" t="n">
        <v>5</v>
      </c>
      <c r="T13" s="26" t="n">
        <v>5</v>
      </c>
      <c r="U13" s="26" t="n">
        <v>5</v>
      </c>
      <c r="V13" s="26" t="n">
        <v>4</v>
      </c>
      <c r="W13" s="26" t="n">
        <v>5</v>
      </c>
      <c r="X13" s="26" t="inlineStr">
        <is>
          <t>N</t>
        </is>
      </c>
      <c r="Y13" s="24">
        <f>IF(COUNT(R13:W13)&lt;6,"",IF(X13="Y",MIN(2,R13*0.3+S13*0.2+T13*0.15+U13*0.15+V13*0.1+W13*0.1),R13*0.3+S13*0.2+T13*0.15+U13*0.15+V13*0.1+W13*0.1))</f>
        <v/>
      </c>
      <c r="Z13" s="12" t="inlineStr">
        <is>
          <t>A4：免費 mini／付費完整版的區分正確，但型號沿用 STT 誤寫的「GVD4O」未對齊成 GPT-4o。B5：四段依據皆在 matches 內。C5：gold 要點全覆蓋。D5：引用正確。E4：條列清楚，扣在型號錯字會讓學生搜不到。F5：判斷正確。</t>
        </is>
      </c>
      <c r="AA13" s="12" t="n"/>
      <c r="AB13" s="12" t="n"/>
    </row>
    <row r="14" ht="150" customHeight="1">
      <c r="A14" s="6" t="inlineStr">
        <is>
          <t>F16</t>
        </is>
      </c>
      <c r="B14" s="6" t="inlineStr">
        <is>
          <t>單片段事實</t>
        </is>
      </c>
      <c r="C14" s="6" t="inlineStr">
        <is>
          <t>中</t>
        </is>
      </c>
      <c r="D14" s="7" t="inlineStr">
        <is>
          <t>CKIP 是用什麼技術做的？可以做什麼？</t>
        </is>
      </c>
      <c r="E14" s="7" t="inlineStr">
        <is>
          <t>CKIP 是用 LSTM 做的，可以做中文的斷詞斷句，效果非常好，還可以做詞性標註。</t>
        </is>
      </c>
      <c r="F14" s="6" t="inlineStr">
        <is>
          <t>V6</t>
        </is>
      </c>
      <c r="G14" s="7" t="inlineStr">
        <is>
          <t>893-966</t>
        </is>
      </c>
      <c r="H14" s="6" t="inlineStr">
        <is>
          <t>N</t>
        </is>
      </c>
      <c r="I14" s="8" t="inlineStr">
        <is>
          <t>CKIP 是用 LSTM 技術做的。它可以幫忙做中文的斷詞斷句，並且還可以做詞性標註。
（依據：aiA10_1140119_6 893.49-912.21s、aiA10_1140119_6 943.17-965.97s）</t>
        </is>
      </c>
      <c r="J14" s="8" t="inlineStr">
        <is>
          <t>aiA10_1140119_6 | aiA10_1140119_5 | aiA10_1140119_4</t>
        </is>
      </c>
      <c r="K14" s="8" t="inlineStr">
        <is>
          <t>893-912s | 943-966s | 634-647s | 136-150s | 928-943s</t>
        </is>
      </c>
      <c r="L14" s="25" t="inlineStr">
        <is>
          <t>N</t>
        </is>
      </c>
      <c r="M14" s="8" t="inlineStr">
        <is>
          <t>matched</t>
        </is>
      </c>
      <c r="N14" s="8" t="n">
        <v>15</v>
      </c>
      <c r="O14" s="8" t="n">
        <v>0.6707</v>
      </c>
      <c r="P14" s="8" t="inlineStr">
        <is>
          <t>N</t>
        </is>
      </c>
      <c r="Q14" s="8" t="n">
        <v>16.66</v>
      </c>
      <c r="R14" s="26" t="n">
        <v>5</v>
      </c>
      <c r="S14" s="26" t="n">
        <v>5</v>
      </c>
      <c r="T14" s="26" t="n">
        <v>5</v>
      </c>
      <c r="U14" s="26" t="n">
        <v>5</v>
      </c>
      <c r="V14" s="26" t="n">
        <v>5</v>
      </c>
      <c r="W14" s="26" t="n">
        <v>5</v>
      </c>
      <c r="X14" s="26" t="inlineStr">
        <is>
          <t>N</t>
        </is>
      </c>
      <c r="Y14" s="24">
        <f>IF(COUNT(R14:W14)&lt;6,"",IF(X14="Y",MIN(2,R14*0.3+S14*0.2+T14*0.15+U14*0.15+V14*0.1+W14*0.1),R14*0.3+S14*0.2+T14*0.15+U14*0.15+V14*0.1+W14*0.1))</f>
        <v/>
      </c>
      <c r="Z14" s="12" t="inlineStr">
        <is>
          <t>A5：LSTM、中文斷詞斷句、詞性標註三項全對。B5：兩段依據皆在 matches 內。C5：gold 要點全覆蓋。D5：引用精準。E5：兩句話講完。F5：判斷正確。</t>
        </is>
      </c>
      <c r="AA14" s="12" t="n"/>
      <c r="AB14" s="12" t="n"/>
    </row>
    <row r="15" ht="150" customHeight="1">
      <c r="A15" s="6" t="inlineStr">
        <is>
          <t>M01</t>
        </is>
      </c>
      <c r="B15" s="6" t="inlineStr">
        <is>
          <t>跨片段歸納</t>
        </is>
      </c>
      <c r="C15" s="6" t="inlineStr">
        <is>
          <t>中</t>
        </is>
      </c>
      <c r="D15" s="7" t="inlineStr">
        <is>
          <t>為什麼做顯示卡的公司會跟 AI 扯上關係？</t>
        </is>
      </c>
      <c r="E15" s="7" t="inlineStr">
        <is>
          <t>(1) 輝達一開始做的是 3D 加速卡，因為 3D 遊戲需要大量但不複雜的浮點運算；(2) CPU 核心少、像博士生什麼都會但成本高，不適合大量重複性低難度運算；(3) 3D 加速卡後來衍生成顯示卡；(4) AI 模型計算的數學跟玩 3D 遊戲算的數學一模一樣，都是矩陣相乘與點積，所以做顯卡的直接跨過來。</t>
        </is>
      </c>
      <c r="F15" s="6" t="inlineStr">
        <is>
          <t>V1</t>
        </is>
      </c>
      <c r="G15" s="7" t="inlineStr">
        <is>
          <t>710-957</t>
        </is>
      </c>
      <c r="H15" s="6" t="inlineStr">
        <is>
          <t>N</t>
        </is>
      </c>
      <c r="I15" s="8" t="inlineStr">
        <is>
          <t>做顯示卡的公司會與 AI 扯上關係，是因為做 AI 模型所需要計算的數學，與原本在遊戲領域（顯示卡）中所需要計算的數學是一模一樣的，因此便跨足到了 AI 領域。
（依據：aiA10_1140119_1 898.85-913.31s、929.77-945.07s、945.11-957.41s）</t>
        </is>
      </c>
      <c r="J15" s="8" t="inlineStr">
        <is>
          <t>aiA10_1140119_1 | aiA10_1140119_2 | aiA10_1140119_6</t>
        </is>
      </c>
      <c r="K15" s="8" t="inlineStr">
        <is>
          <t>899-913s | 722-734s | 734-746s | 930-945s | 1471-1483s</t>
        </is>
      </c>
      <c r="L15" s="25" t="inlineStr">
        <is>
          <t>N</t>
        </is>
      </c>
      <c r="M15" s="8" t="inlineStr">
        <is>
          <t>matched</t>
        </is>
      </c>
      <c r="N15" s="8" t="n">
        <v>15</v>
      </c>
      <c r="O15" s="8" t="n">
        <v>0.6840000000000001</v>
      </c>
      <c r="P15" s="8" t="inlineStr">
        <is>
          <t>N</t>
        </is>
      </c>
      <c r="Q15" s="8" t="n">
        <v>11.3</v>
      </c>
      <c r="R15" s="26" t="n">
        <v>5</v>
      </c>
      <c r="S15" s="26" t="n">
        <v>5</v>
      </c>
      <c r="T15" s="26" t="n">
        <v>2</v>
      </c>
      <c r="U15" s="26" t="n">
        <v>5</v>
      </c>
      <c r="V15" s="26" t="n">
        <v>4</v>
      </c>
      <c r="W15" s="26" t="n">
        <v>5</v>
      </c>
      <c r="X15" s="26" t="inlineStr">
        <is>
          <t>N</t>
        </is>
      </c>
      <c r="Y15" s="24">
        <f>IF(COUNT(R15:W15)&lt;6,"",IF(X15="Y",MIN(2,R15*0.3+S15*0.2+T15*0.15+U15*0.15+V15*0.1+W15*0.1),R15*0.3+S15*0.2+T15*0.15+U15*0.15+V15*0.1+W15*0.1))</f>
        <v/>
      </c>
      <c r="Z15" s="12" t="inlineStr">
        <is>
          <t>A5：講出的那一點（AI 與 3D 遊戲算的數學一模一樣）完全正確。B5：三段依據皆在 matches 內。C2：gold 四個環節只講到第 4 點，3D 加速卡起家、CPU 博士生比喻、演變成顯卡三項全漏——而 matches 裡明明有 722-734s、734-746s 這兩段 3D 加速卡的內容沒被使用，是 prompt 規則 2「不可只摘錄」未生效的典型症狀。D5：引用正確。E4：通順但過於單薄。F5：判斷正確。</t>
        </is>
      </c>
      <c r="AA15" s="12" t="n"/>
      <c r="AB15" s="12" t="n"/>
    </row>
    <row r="16" ht="150" customHeight="1">
      <c r="A16" s="6" t="inlineStr">
        <is>
          <t>M02</t>
        </is>
      </c>
      <c r="B16" s="6" t="inlineStr">
        <is>
          <t>跨片段歸納</t>
        </is>
      </c>
      <c r="C16" s="6" t="inlineStr">
        <is>
          <t>難</t>
        </is>
      </c>
      <c r="D16" s="7" t="inlineStr">
        <is>
          <t>為什麼不能買很多張 4090 來取代 A100？</t>
        </is>
      </c>
      <c r="E16" s="7" t="inlineStr">
        <is>
          <t>(1) 電腦主機板記憶體可以多插幾條累加，顯卡記憶體不行；(2) 兩張 4090 是兩個獨立的 24GB，不會變成 48GB，需要 30GB 的模型就塞不下；(3) A100 的記憶體可以 share、可以串聯，機房卡與消費卡的差別就在這；(4) 單顆晶片運算能力其實差不多，差在記憶體架構。</t>
        </is>
      </c>
      <c r="F16" s="6" t="inlineStr">
        <is>
          <t>V1</t>
        </is>
      </c>
      <c r="G16" s="7" t="inlineStr">
        <is>
          <t>1296-1510</t>
        </is>
      </c>
      <c r="H16" s="6" t="inlineStr">
        <is>
          <t>N</t>
        </is>
      </c>
      <c r="I16" s="8" t="inlineStr">
        <is>
          <t>不能買多張 4090 取代 A100 的原因如下：
1. **記憶體無法串連與共享**：4090 的記憶體是獨立分開的，即使買了兩張 24GB 的 4090，記憶體也不會相加變成 48GB（買兩百張也不會加起來），因此若模型需要較大記憶體（例如 30GB）便無法執行；而 A100 的記憶體則可以串連並共享（share）。
2. **硬體物理限制**：Nvidia 在設計上限制了硬體，讓使用者無法將多張 4090 塞下去。
(依據：aiA10_1140119_1 1422.79-1440.89s、1441.69-1455.13s、1470.57-1483.27s、1484.07-1496.67s)</t>
        </is>
      </c>
      <c r="J16" s="8" t="inlineStr">
        <is>
          <t>aiA10_1140119_1</t>
        </is>
      </c>
      <c r="K16" s="8" t="inlineStr">
        <is>
          <t>1312-1326s | 1296-1312s | 1096-1110s | 1144-1161s | 1423-1441s</t>
        </is>
      </c>
      <c r="L16" s="25" t="inlineStr">
        <is>
          <t>N</t>
        </is>
      </c>
      <c r="M16" s="8" t="inlineStr">
        <is>
          <t>matched</t>
        </is>
      </c>
      <c r="N16" s="8" t="n">
        <v>15</v>
      </c>
      <c r="O16" s="8" t="n">
        <v>0.7079</v>
      </c>
      <c r="P16" s="8" t="inlineStr">
        <is>
          <t>N</t>
        </is>
      </c>
      <c r="Q16" s="8" t="n">
        <v>15.81</v>
      </c>
      <c r="R16" s="26" t="n">
        <v>5</v>
      </c>
      <c r="S16" s="26" t="n">
        <v>5</v>
      </c>
      <c r="T16" s="26" t="n">
        <v>4</v>
      </c>
      <c r="U16" s="26" t="n">
        <v>5</v>
      </c>
      <c r="V16" s="26" t="n">
        <v>5</v>
      </c>
      <c r="W16" s="26" t="n">
        <v>5</v>
      </c>
      <c r="X16" s="26" t="inlineStr">
        <is>
          <t>N</t>
        </is>
      </c>
      <c r="Y16" s="24">
        <f>IF(COUNT(R16:W16)&lt;6,"",IF(X16="Y",MIN(2,R16*0.3+S16*0.2+T16*0.15+U16*0.15+V16*0.1+W16*0.1),R16*0.3+S16*0.2+T16*0.15+U16*0.15+V16*0.1+W16*0.1))</f>
        <v/>
      </c>
      <c r="Z16" s="12" t="inlineStr">
        <is>
          <t>A5：記憶體不可疊加、A100 可 share、Nvidia 刻意設計限制皆正確。B5：四段依據皆在 matches 內。C4：漏掉「單顆晶片運算能力其實差不多」這個關鍵對比。D5：引用正確。E5：條列清楚、有粗體標題。F5：判斷正確。</t>
        </is>
      </c>
      <c r="AA16" s="12" t="n"/>
      <c r="AB16" s="12" t="n"/>
    </row>
    <row r="17" ht="150" customHeight="1">
      <c r="A17" s="6" t="inlineStr">
        <is>
          <t>M04</t>
        </is>
      </c>
      <c r="B17" s="6" t="inlineStr">
        <is>
          <t>跨片段歸納</t>
        </is>
      </c>
      <c r="C17" s="6" t="inlineStr">
        <is>
          <t>中</t>
        </is>
      </c>
      <c r="D17" s="7" t="inlineStr">
        <is>
          <t>為什麼「多輪問答」對 ChatGPT 這麼重要？</t>
        </is>
      </c>
      <c r="E17" s="7" t="inlineStr">
        <is>
          <t>以珍珠奶茶點餐為例：只講「我要一杯珍奶」店員無法點餐，還要問冰熱、糖度；每一句話單獨拿出來都沒有意義，必須承接上一句才有意義，這才符合人類對話的常態。之前很多 QA 對答系統就是差在沒有多輪問答能力，這是 ChatGPT 爆火的關鍵。</t>
        </is>
      </c>
      <c r="F17" s="6" t="inlineStr">
        <is>
          <t>V2</t>
        </is>
      </c>
      <c r="G17" s="7" t="inlineStr">
        <is>
          <t>805-1037</t>
        </is>
      </c>
      <c r="H17" s="6" t="inlineStr">
        <is>
          <t>N</t>
        </is>
      </c>
      <c r="I17" s="8" t="inlineStr">
        <is>
          <t>「多輪問答」對 ChatGPT 非常重要的原因在於：
1. **符合人類對話邏輯**：多輪問答才能符合人類對話的邏輯。
2. **使系統爆火並展現優勢**：這是讓 ChatGPT 系統突然爆火的關鍵能力。先前的模型比較沒有這種多輪問答的能力，而 ChatGPT 靠著這個能力讓大家發現它非常好用。
(依據：aiA10_1140119_2 824.52-865.18s、1021.93-1036.67s)</t>
        </is>
      </c>
      <c r="J17" s="8" t="inlineStr">
        <is>
          <t>aiA10_1140119_2 | aiA10_1140119_1 | aiA10_1140119_6 | aiA10_1140119_3 | aiA10_1140119_4</t>
        </is>
      </c>
      <c r="K17" s="8" t="inlineStr">
        <is>
          <t>848-865s | 825-848s | 805-825s | 1022-1037s | 150-164s</t>
        </is>
      </c>
      <c r="L17" s="25" t="inlineStr">
        <is>
          <t>N</t>
        </is>
      </c>
      <c r="M17" s="8" t="inlineStr">
        <is>
          <t>matched</t>
        </is>
      </c>
      <c r="N17" s="8" t="n">
        <v>15</v>
      </c>
      <c r="O17" s="8" t="n">
        <v>0.6766</v>
      </c>
      <c r="P17" s="8" t="inlineStr">
        <is>
          <t>N</t>
        </is>
      </c>
      <c r="Q17" s="8" t="n">
        <v>12.81</v>
      </c>
      <c r="R17" s="26" t="n">
        <v>5</v>
      </c>
      <c r="S17" s="26" t="n">
        <v>5</v>
      </c>
      <c r="T17" s="26" t="n">
        <v>3</v>
      </c>
      <c r="U17" s="26" t="n">
        <v>5</v>
      </c>
      <c r="V17" s="26" t="n">
        <v>5</v>
      </c>
      <c r="W17" s="26" t="n">
        <v>5</v>
      </c>
      <c r="X17" s="26" t="inlineStr">
        <is>
          <t>N</t>
        </is>
      </c>
      <c r="Y17" s="24">
        <f>IF(COUNT(R17:W17)&lt;6,"",IF(X17="Y",MIN(2,R17*0.3+S17*0.2+T17*0.15+U17*0.15+V17*0.1+W17*0.1),R17*0.3+S17*0.2+T17*0.15+U17*0.15+V17*0.1+W17*0.1))</f>
        <v/>
      </c>
      <c r="Z17" s="12" t="inlineStr">
        <is>
          <t>A5：符合人類對話邏輯、之前模型沒有此能力、是爆火關鍵，皆正確。B5：兩段依據皆在 matches 內。C3：完全沒有帶出珍珠奶茶點餐的例子，也沒解釋「每句話單獨拿出來沒有意義」——而 matches 前三名正是 805-825s、825-848s、848-865s 珍奶那段，撈到了卻沒用。D5：引用正確。E5：條列清楚。F5：判斷正確。</t>
        </is>
      </c>
      <c r="AA17" s="12" t="n"/>
      <c r="AB17" s="12" t="n"/>
    </row>
    <row r="18" ht="150" customHeight="1">
      <c r="A18" s="6" t="inlineStr">
        <is>
          <t>M05</t>
        </is>
      </c>
      <c r="B18" s="6" t="inlineStr">
        <is>
          <t>跨片段歸納</t>
        </is>
      </c>
      <c r="C18" s="6" t="inlineStr">
        <is>
          <t>中</t>
        </is>
      </c>
      <c r="D18" s="7" t="inlineStr">
        <is>
          <t>三星把技術文件丟給 ChatGPT 這件事發生了什麼？</t>
        </is>
      </c>
      <c r="E18" s="7" t="inlineStr">
        <is>
          <t>三星是 OpenAI 測試階段的合作夥伴之一，工程師想測試它懂不懂半導體，就把公司技術文件丟給 ChatGPT 看再出題考它，結果它答得很好。後來其他工程師發現 ChatGPT 竟然能回答公司內部半導體製程的機密知識——因為 ChatGPT 會把對話內容當作訓練資料訓練進去，而測試階段訓練資料控管沒那麼精確。</t>
        </is>
      </c>
      <c r="F18" s="6" t="inlineStr">
        <is>
          <t>V2+V3</t>
        </is>
      </c>
      <c r="G18" s="7" t="inlineStr">
        <is>
          <t>V2 1616-1796 / V3 1-57</t>
        </is>
      </c>
      <c r="H18" s="6" t="inlineStr">
        <is>
          <t>N</t>
        </is>
      </c>
      <c r="I18" s="8" t="inlineStr">
        <is>
          <t>三星的工程師為了測試 ChatGPT 的能力，將公司內部的技術文件丟給 ChatGPT。結果，整份文件被當作訓練資料訓練了進去，導致其他工程師隨後發現 ChatGPT 居然能夠回答他們公司的問題。這起事件發生的原因在於，當時 OpenAI 還處於測試階段，對訓練資料的控管不夠精確，沒想到會有人將這種機密資料丟進去。
（依據：aiA10_1140119_2 1707.96-1734.18s、aiA10_1140119_3 1.23-15.83s、29.01-56.91s）</t>
        </is>
      </c>
      <c r="J18" s="8" t="inlineStr">
        <is>
          <t>aiA10_1140119_3 | aiA10_1140119_2 | aiA10_1140119_4 | aiA10_1140119_6</t>
        </is>
      </c>
      <c r="K18" s="8" t="inlineStr">
        <is>
          <t>1-16s | 29-42s | 42-57s | 1777-1790s | 121-133s</t>
        </is>
      </c>
      <c r="L18" s="25" t="inlineStr">
        <is>
          <t>N</t>
        </is>
      </c>
      <c r="M18" s="8" t="inlineStr">
        <is>
          <t>matched</t>
        </is>
      </c>
      <c r="N18" s="8" t="n">
        <v>15</v>
      </c>
      <c r="O18" s="8" t="n">
        <v>0.6766</v>
      </c>
      <c r="P18" s="8" t="inlineStr">
        <is>
          <t>N</t>
        </is>
      </c>
      <c r="Q18" s="8" t="n">
        <v>15.42</v>
      </c>
      <c r="R18" s="26" t="n">
        <v>5</v>
      </c>
      <c r="S18" s="26" t="n">
        <v>5</v>
      </c>
      <c r="T18" s="26" t="n">
        <v>4</v>
      </c>
      <c r="U18" s="26" t="n">
        <v>5</v>
      </c>
      <c r="V18" s="26" t="n">
        <v>5</v>
      </c>
      <c r="W18" s="26" t="n">
        <v>5</v>
      </c>
      <c r="X18" s="26" t="inlineStr">
        <is>
          <t>N</t>
        </is>
      </c>
      <c r="Y18" s="24">
        <f>IF(COUNT(R18:W18)&lt;6,"",IF(X18="Y",MIN(2,R18*0.3+S18*0.2+T18*0.15+U18*0.15+V18*0.1+W18*0.1),R18*0.3+S18*0.2+T18*0.15+U18*0.15+V18*0.1+W18*0.1))</f>
        <v/>
      </c>
      <c r="Z18" s="12" t="inlineStr">
        <is>
          <t>A5：測試階段、文件被當訓練資料、其他工程師發現機密、控管不精確，皆正確。B5：三段依據皆在 matches 內（跨 V2/V3 兩支影片）。C4：漏掉「工程師出題考它、結果答得很好」這個起因環節。D5：跨影片引用皆正確。E5：敘事完整通順。F5：判斷正確。</t>
        </is>
      </c>
      <c r="AA18" s="12" t="n"/>
      <c r="AB18" s="12" t="n"/>
    </row>
    <row r="19" ht="150" customHeight="1">
      <c r="A19" s="6" t="inlineStr">
        <is>
          <t>M07</t>
        </is>
      </c>
      <c r="B19" s="6" t="inlineStr">
        <is>
          <t>跨片段歸納</t>
        </is>
      </c>
      <c r="C19" s="6" t="inlineStr">
        <is>
          <t>中</t>
        </is>
      </c>
      <c r="D19" s="7" t="inlineStr">
        <is>
          <t>加州警察局的人臉辨識系統為什麼上線前被喊卡？</t>
        </is>
      </c>
      <c r="E19" s="7" t="inlineStr">
        <is>
          <t>因為有人發現它辨識黑人通緝犯的準確率比辨識白人高。原因是訓練資料庫裡黑人的犯罪記錄與照片比白人多，模型抓臉部特徵抓得比較準。但有人認為黑人資料較多是因為過往處境不好被迫犯罪，模型等於對黑人歧視，所以系統被叫停。</t>
        </is>
      </c>
      <c r="F19" s="6" t="inlineStr">
        <is>
          <t>V4</t>
        </is>
      </c>
      <c r="G19" s="7" t="inlineStr">
        <is>
          <t>92-227</t>
        </is>
      </c>
      <c r="H19" s="6" t="inlineStr">
        <is>
          <t>N</t>
        </is>
      </c>
      <c r="I19" s="8" t="inlineStr">
        <is>
          <t>加州警察局的人臉辨識系統在即將上線前被喊卡，是因為有人發現該系統辨識黑人通緝犯的準確率比辨識白人高。
這項問題的起因是系統使用過往通緝犯與罪犯的資料進行訓練，而資料庫中黑人的犯罪記錄與資料比白人多，導致系統對黑人臉部特徵抓取較好、辨識率較高。這在美國屬於敏感議題，被認為等同於對黑人的歧視，因此系統最終被叫停。
（依據：aiA10_1140119_4 121.94-227.19s）</t>
        </is>
      </c>
      <c r="J19" s="8" t="inlineStr">
        <is>
          <t>aiA10_1140119_4 | aiA10_1140119_3 | aiA10_1140119_6 | aiA10_1140119_2</t>
        </is>
      </c>
      <c r="K19" s="8" t="inlineStr">
        <is>
          <t>105-122s | 92-105s | 122-138s | 138-151s | 164-180s</t>
        </is>
      </c>
      <c r="L19" s="25" t="inlineStr">
        <is>
          <t>N</t>
        </is>
      </c>
      <c r="M19" s="8" t="inlineStr">
        <is>
          <t>matched</t>
        </is>
      </c>
      <c r="N19" s="8" t="n">
        <v>15</v>
      </c>
      <c r="O19" s="8" t="n">
        <v>0.6975</v>
      </c>
      <c r="P19" s="8" t="inlineStr">
        <is>
          <t>N</t>
        </is>
      </c>
      <c r="Q19" s="8" t="n">
        <v>18.25</v>
      </c>
      <c r="R19" s="26" t="n">
        <v>5</v>
      </c>
      <c r="S19" s="26" t="n">
        <v>5</v>
      </c>
      <c r="T19" s="26" t="n">
        <v>5</v>
      </c>
      <c r="U19" s="26" t="n">
        <v>5</v>
      </c>
      <c r="V19" s="26" t="n">
        <v>5</v>
      </c>
      <c r="W19" s="26" t="n">
        <v>5</v>
      </c>
      <c r="X19" s="26" t="inlineStr">
        <is>
          <t>N</t>
        </is>
      </c>
      <c r="Y19" s="24">
        <f>IF(COUNT(R19:W19)&lt;6,"",IF(X19="Y",MIN(2,R19*0.3+S19*0.2+T19*0.15+U19*0.15+V19*0.1+W19*0.1),R19*0.3+S19*0.2+T19*0.15+U19*0.15+V19*0.1+W19*0.1))</f>
        <v/>
      </c>
      <c r="Z19" s="12" t="inlineStr">
        <is>
          <t>A5：辨識黑人準確率較高、訓練資料分佈不均、被認為構成歧視而叫停，全部正確。B5：121.94-227.19s 是把 5 個連續命中片段合併的區間，皆在 matches 內。C5：gold 要點全覆蓋。D5：引用正確。E5：兩段式結構清楚。F5：判斷正確。</t>
        </is>
      </c>
      <c r="AA19" s="12" t="n"/>
      <c r="AB19" s="12" t="n"/>
    </row>
    <row r="20" ht="150" customHeight="1">
      <c r="A20" s="6" t="inlineStr">
        <is>
          <t>M08</t>
        </is>
      </c>
      <c r="B20" s="6" t="inlineStr">
        <is>
          <t>跨片段歸納</t>
        </is>
      </c>
      <c r="C20" s="6" t="inlineStr">
        <is>
          <t>難</t>
        </is>
      </c>
      <c r="D20" s="7" t="inlineStr">
        <is>
          <t>華盛頓郵報做了什麼實驗？為什麼引發爭議？</t>
        </is>
      </c>
      <c r="E20" s="7" t="inlineStr">
        <is>
          <t>記者要求 ChatGPT 以紐約郵報的報導風格寫一篇關於亨特拜登的報導，ChatGPT 拒絕，說自己不生成具有政治偏見的內容；把問題一字不改只把媒體換成 CNN，ChatGPT 就答應寫了。等於暗示它認為紐約郵報有政治立場，被指控做言論審查。OpenAI 工程師表示沒有做任何相關設定，推測是訓練資料中夾帶的新聞留言與 Reddit 討論造成，因為深度學習是黑盒子，無法解釋。</t>
        </is>
      </c>
      <c r="F20" s="6" t="inlineStr">
        <is>
          <t>V4</t>
        </is>
      </c>
      <c r="G20" s="7" t="inlineStr">
        <is>
          <t>227-580</t>
        </is>
      </c>
      <c r="H20" s="6" t="inlineStr">
        <is>
          <t>N</t>
        </is>
      </c>
      <c r="I20" s="8" t="inlineStr">
        <is>
          <t>**華盛頓郵報做的實驗：**
華盛頓郵報的記者做了一個實驗，要求 ChatGPT（確實GPT）以《紐約郵報》的報導風格撰寫一篇關於亨特·拜登的報導。ChatGPT 拒絕了此請求，表示無法生成具有政治偏見的內容。然而，當記者將問題修改，要求以《CNN》的風格撰寫時，ChatGPT 卻立刻答應並完成了寫作。
**引發爭議的原因：**
此舉引發了「言論審查」的爭議。ChatGPT 幫 CNN 寫卻不幫紐約郵報寫，言下之意被認為是在判定紐約郵報的政治立場並進行審查，這在擁有新聞報導自由的美國引發了強烈批評，將 ChatGPT 罵得亂七八糟。儘管 OpenAI 的工程師事後澄清，系統並沒有做任何不幫特定對象寫文章的言論審查設定。
（依據：aiA10_1140119_4 227.19-258.58s、342.4-354.4s、395.72-408.72s、422.57-491.64s）</t>
        </is>
      </c>
      <c r="J20" s="8" t="inlineStr">
        <is>
          <t>aiA10_1140119_4 | aiA10_1140119_3 | aiA10_1140119_6</t>
        </is>
      </c>
      <c r="K20" s="8" t="inlineStr">
        <is>
          <t>227-241s | 241-259s | 342-354s | 396-409s | 354-366s</t>
        </is>
      </c>
      <c r="L20" s="25" t="inlineStr">
        <is>
          <t>N</t>
        </is>
      </c>
      <c r="M20" s="8" t="inlineStr">
        <is>
          <t>matched</t>
        </is>
      </c>
      <c r="N20" s="8" t="n">
        <v>15</v>
      </c>
      <c r="O20" s="8" t="n">
        <v>0.6613</v>
      </c>
      <c r="P20" s="8" t="inlineStr">
        <is>
          <t>N</t>
        </is>
      </c>
      <c r="Q20" s="8" t="n">
        <v>17.79</v>
      </c>
      <c r="R20" s="26" t="n">
        <v>5</v>
      </c>
      <c r="S20" s="26" t="n">
        <v>5</v>
      </c>
      <c r="T20" s="26" t="n">
        <v>4</v>
      </c>
      <c r="U20" s="26" t="n">
        <v>5</v>
      </c>
      <c r="V20" s="26" t="n">
        <v>5</v>
      </c>
      <c r="W20" s="26" t="n">
        <v>5</v>
      </c>
      <c r="X20" s="26" t="inlineStr">
        <is>
          <t>N</t>
        </is>
      </c>
      <c r="Y20" s="24">
        <f>IF(COUNT(R20:W20)&lt;6,"",IF(X20="Y",MIN(2,R20*0.3+S20*0.2+T20*0.15+U20*0.15+V20*0.1+W20*0.1),R20*0.3+S20*0.2+T20*0.15+U20*0.15+V20*0.1+W20*0.1))</f>
        <v/>
      </c>
      <c r="Z20" s="12" t="inlineStr">
        <is>
          <t>A5：紐約郵報被拒、換成 CNN 就寫、言論審查爭議、OpenAI 否認設定，全部正確。B5：四段依據皆在 matches 內。C4：漏掉「深度學習是黑盒子、推測來自訓練資料裡的留言與 Reddit 討論」這個收尾。D5：引用正確。E5：分標題敘述，可讀性佳。F5：判斷正確。</t>
        </is>
      </c>
      <c r="AA20" s="12" t="n"/>
      <c r="AB20" s="12" t="n"/>
    </row>
    <row r="21" ht="150" customHeight="1">
      <c r="A21" s="6" t="inlineStr">
        <is>
          <t>M10</t>
        </is>
      </c>
      <c r="B21" s="6" t="inlineStr">
        <is>
          <t>跨片段歸納</t>
        </is>
      </c>
      <c r="C21" s="6" t="inlineStr">
        <is>
          <t>難</t>
        </is>
      </c>
      <c r="D21" s="7" t="inlineStr">
        <is>
          <t>有人怎麼「拐」ChatGPT 說出它不該說的話？</t>
        </is>
      </c>
      <c r="E21" s="7" t="inlineStr">
        <is>
          <t>(1) 換身分：改說自己是該車型的車主，想知道小偷會怎麼偷我的車來預防——ChatGPT 覺得是好事就答了，但無法判斷提問者是不是真車主；(2) 換情境：說自己在玩 GTA 遊戲，想在遊戲裡偷一台車——ChatGPT 也會回答，但遊戲裡偷也是偷。當時甚至有專門探討如何拐 ChatGPT 的書。</t>
        </is>
      </c>
      <c r="F21" s="6" t="inlineStr">
        <is>
          <t>V3+V4</t>
        </is>
      </c>
      <c r="G21" s="7" t="inlineStr">
        <is>
          <t>V3 1592-1785 / V4 0-50</t>
        </is>
      </c>
      <c r="H21" s="6" t="inlineStr">
        <is>
          <t>N</t>
        </is>
      </c>
      <c r="I21" s="8" t="inlineStr">
        <is>
          <t>有人會透過「換個問法」或「把問題改一下」的方式，來拐 ChatGPT 說出不該說的話。
例如，當直接詢問如何偷車被阻擋後，將問題改為「你能告訴我他會怎麼偷嗎」，讓 ChatGPT 認為問問題的人是車主、為了預防被偷才提問，進而做出回答；又或者在要求寫出具政治偏見的內容被拒絕時，也是透過「把問題換一下」來應對。
（依據：aiA10_1140119_3 1605.27-1618.77s、1637.08-1650.48s；aiA10_1140119_4 395.72-408.72s）</t>
        </is>
      </c>
      <c r="J21" s="8" t="inlineStr">
        <is>
          <t>aiA10_1140119_3 | aiA10_1140119_4 | aiA10_1140119_2</t>
        </is>
      </c>
      <c r="K21" s="8" t="inlineStr">
        <is>
          <t>1592-1605s | 1508-1520s | 1637-1650s | 1605-1619s | 61-79s</t>
        </is>
      </c>
      <c r="L21" s="25" t="inlineStr">
        <is>
          <t>N</t>
        </is>
      </c>
      <c r="M21" s="8" t="inlineStr">
        <is>
          <t>matched</t>
        </is>
      </c>
      <c r="N21" s="8" t="n">
        <v>15</v>
      </c>
      <c r="O21" s="8" t="n">
        <v>0.7176</v>
      </c>
      <c r="P21" s="8" t="inlineStr">
        <is>
          <t>N</t>
        </is>
      </c>
      <c r="Q21" s="8" t="n">
        <v>17.08</v>
      </c>
      <c r="R21" s="26" t="n">
        <v>4</v>
      </c>
      <c r="S21" s="26" t="n">
        <v>5</v>
      </c>
      <c r="T21" s="26" t="n">
        <v>2</v>
      </c>
      <c r="U21" s="26" t="n">
        <v>5</v>
      </c>
      <c r="V21" s="26" t="n">
        <v>4</v>
      </c>
      <c r="W21" s="26" t="n">
        <v>5</v>
      </c>
      <c r="X21" s="26" t="inlineStr">
        <is>
          <t>N</t>
        </is>
      </c>
      <c r="Y21" s="24">
        <f>IF(COUNT(R21:W21)&lt;6,"",IF(X21="Y",MIN(2,R21*0.3+S21*0.2+T21*0.15+U21*0.15+V21*0.1+W21*0.1),R21*0.3+S21*0.2+T21*0.15+U21*0.15+V21*0.1+W21*0.1))</f>
        <v/>
      </c>
      <c r="Z21" s="12" t="inlineStr">
        <is>
          <t>A4：車主問法這個手法正確，但把 M08 的「政治偏見換 CNN」也算成拐 ChatGPT 的手法，屬於張冠李戴。B5：三段依據皆在 matches 內。C2：gold 三項只答到一項，GTA 遊戲情境問法與「當時有專門的書」全漏。D5：引用正確。E4：通順但混入不相干案例。F5：判斷正確。</t>
        </is>
      </c>
      <c r="AA21" s="12" t="n"/>
      <c r="AB21" s="12" t="n"/>
    </row>
    <row r="22" ht="150" customHeight="1">
      <c r="A22" s="6" t="inlineStr">
        <is>
          <t>M11</t>
        </is>
      </c>
      <c r="B22" s="6" t="inlineStr">
        <is>
          <t>跨片段歸納</t>
        </is>
      </c>
      <c r="C22" s="6" t="inlineStr">
        <is>
          <t>中</t>
        </is>
      </c>
      <c r="D22" s="7" t="inlineStr">
        <is>
          <t>中文做自然語言處理難在哪裡？老師早期怎麼處理？</t>
        </is>
      </c>
      <c r="E22" s="7" t="inlineStr">
        <is>
          <t>中文最大的問題是字跟字之間沒有空格，斷詞沒有線索可循，英文則天生有空格很好斷，所以早期中文 NLP 做不了。老師早期只能用很笨的兩段式方法：先用 Google 翻譯把中文翻成英文，用英文的套件做 NLP，算完再翻回中文。後來有了 CKIP 才不用這樣做。</t>
        </is>
      </c>
      <c r="F22" s="6" t="inlineStr">
        <is>
          <t>V6</t>
        </is>
      </c>
      <c r="G22" s="7" t="inlineStr">
        <is>
          <t>768-912</t>
        </is>
      </c>
      <c r="H22" s="6" t="inlineStr">
        <is>
          <t>N</t>
        </is>
      </c>
      <c r="I22" s="8" t="inlineStr">
        <is>
          <t>**中文做自然語言處理的難處：**
* 在進行資料預處理時，要把字拆開並不容易，光是第一步的斷詞（片段中寫作「斷持」）就會把中文卡死。
* 處理中文時，有時候需要特別把問號留下來。
**老師早期的處理方式：**
* 由於早期中文的自然語言處理做不了，且當時只有英文有一些套件，因此老師在實做系統時，是先將中文翻譯成英文，用英文進行自然語言處理（NLP）並產出結果後，再將該結果翻譯回中文。
（依據：aiA10_1140119_6 799.21-810.66s、824.23-837.37s、855.86-878.45s、928.47-942.91s、1294.3-1306.84s）</t>
        </is>
      </c>
      <c r="J22" s="8" t="inlineStr">
        <is>
          <t>aiA10_1140119_6 | aiA10_1140119_4 | aiA10_1140119_5</t>
        </is>
      </c>
      <c r="K22" s="8" t="inlineStr">
        <is>
          <t>824-837s | 1738-1755s | 675-689s | 1459-1474s | 928-943s</t>
        </is>
      </c>
      <c r="L22" s="25" t="inlineStr">
        <is>
          <t>N</t>
        </is>
      </c>
      <c r="M22" s="8" t="inlineStr">
        <is>
          <t>matched</t>
        </is>
      </c>
      <c r="N22" s="8" t="n">
        <v>15</v>
      </c>
      <c r="O22" s="8" t="n">
        <v>0.7068</v>
      </c>
      <c r="P22" s="8" t="inlineStr">
        <is>
          <t>N</t>
        </is>
      </c>
      <c r="Q22" s="8" t="n">
        <v>16.22</v>
      </c>
      <c r="R22" s="26" t="n">
        <v>4</v>
      </c>
      <c r="S22" s="26" t="n">
        <v>5</v>
      </c>
      <c r="T22" s="26" t="n">
        <v>4</v>
      </c>
      <c r="U22" s="26" t="n">
        <v>5</v>
      </c>
      <c r="V22" s="26" t="n">
        <v>3</v>
      </c>
      <c r="W22" s="26" t="n">
        <v>5</v>
      </c>
      <c r="X22" s="26" t="inlineStr">
        <is>
          <t>N</t>
        </is>
      </c>
      <c r="Y22" s="24">
        <f>IF(COUNT(R22:W22)&lt;6,"",IF(X22="Y",MIN(2,R22*0.3+S22*0.2+T22*0.15+U22*0.15+V22*0.1+W22*0.1),R22*0.3+S22*0.2+T22*0.15+U22*0.15+V22*0.1+W22*0.1))</f>
        <v/>
      </c>
      <c r="Z22" s="12" t="inlineStr">
        <is>
          <t>A4：斷詞卡死中文、早期用 Google 翻譯兩段式處理，皆正確；但「處理中文時要保留問號」與本題無關，被硬塞進「難處」。B5：五段依據皆在 matches 內。C4：核心兩點都到位，漏掉「後來有 CKIP 才不用這樣做」的收尾。D5：引用正確。E3：夾帶無關項，且「片段中寫作『斷持』」這種對 STT 錯字的括號註解違反 prompt 規則 6。F5：判斷正確。</t>
        </is>
      </c>
      <c r="AA22" s="12" t="n"/>
      <c r="AB22" s="12" t="n"/>
    </row>
    <row r="23" ht="150" customHeight="1">
      <c r="A23" s="6" t="inlineStr">
        <is>
          <t>M13</t>
        </is>
      </c>
      <c r="B23" s="6" t="inlineStr">
        <is>
          <t>跨片段歸納</t>
        </is>
      </c>
      <c r="C23" s="6" t="inlineStr">
        <is>
          <t>中</t>
        </is>
      </c>
      <c r="D23" s="7" t="inlineStr">
        <is>
          <t>為什麼處理中文時常常刻意保留問號？</t>
        </is>
      </c>
      <c r="E23" s="7" t="inlineStr">
        <is>
          <t>停用詞與標點通常會被去除，但中文很多情況下問句跟一般句子的文字完全一樣，例如「這東西很好吃」可以是陳述也可以是反問，差別只在語調；文字上唯一能反映這個差別的就是最後的問號，所以中文處理時要特別把問號留下來。</t>
        </is>
      </c>
      <c r="F23" s="6" t="inlineStr">
        <is>
          <t>V6</t>
        </is>
      </c>
      <c r="G23" s="7" t="inlineStr">
        <is>
          <t>1128-1307</t>
        </is>
      </c>
      <c r="H23" s="6" t="inlineStr">
        <is>
          <t>N</t>
        </is>
      </c>
      <c r="I23" s="8" t="inlineStr">
        <is>
          <t>目前資料庫片段不足以回答這個問題。</t>
        </is>
      </c>
      <c r="J23" s="8" t="inlineStr">
        <is>
          <t>aiA10_1140119_6 | aiA10_1140119_2 | aiA10_1140119_4</t>
        </is>
      </c>
      <c r="K23" s="8" t="inlineStr">
        <is>
          <t>1198-1214s | 1294-1307s | 1180-1197s | 1157-1180s | 799-811s</t>
        </is>
      </c>
      <c r="L23" s="25" t="inlineStr">
        <is>
          <t>Y</t>
        </is>
      </c>
      <c r="M23" s="8" t="inlineStr">
        <is>
          <t>matched</t>
        </is>
      </c>
      <c r="N23" s="8" t="n">
        <v>15</v>
      </c>
      <c r="O23" s="8" t="n">
        <v>0.7325</v>
      </c>
      <c r="P23" s="8" t="inlineStr">
        <is>
          <t>N</t>
        </is>
      </c>
      <c r="Q23" s="8" t="n">
        <v>13.35</v>
      </c>
      <c r="R23" s="26" t="n">
        <v>1</v>
      </c>
      <c r="S23" s="26" t="n">
        <v>5</v>
      </c>
      <c r="T23" s="26" t="n">
        <v>1</v>
      </c>
      <c r="U23" s="26" t="n">
        <v>1</v>
      </c>
      <c r="V23" s="26" t="n">
        <v>2</v>
      </c>
      <c r="W23" s="26" t="n">
        <v>1</v>
      </c>
      <c r="X23" s="26" t="inlineStr">
        <is>
          <t>N</t>
        </is>
      </c>
      <c r="Y23" s="24">
        <f>IF(COUNT(R23:W23)&lt;6,"",IF(X23="Y",MIN(2,R23*0.3+S23*0.2+T23*0.15+U23*0.15+V23*0.1+W23*0.1),R23*0.3+S23*0.2+T23*0.15+U23*0.15+V23*0.1+W23*0.1))</f>
        <v/>
      </c>
      <c r="Z23" s="12" t="inlineStr">
        <is>
          <t>**假拒答**。A1：完全沒有提供任何內容。B5：沒有編造任何東西。C1：gold 要點零覆蓋。D1：沒有任何引用。E2：罐頭句本身清楚但對學生無用。F1：資料明明充足卻拒答——matches 的前五名 1157-1180s、1180-1197s、1198-1214s、1294-1307s 正是老師講「中文要保留問號」與「這東西很好吃」反問例的那幾段，top score 0.7325 是全場偏高的，檢索完全正確，是生成端過度保守。</t>
        </is>
      </c>
      <c r="AA23" s="12" t="n"/>
      <c r="AB23" s="12" t="n"/>
    </row>
    <row r="24" ht="150" customHeight="1">
      <c r="A24" s="6" t="inlineStr">
        <is>
          <t>M14</t>
        </is>
      </c>
      <c r="B24" s="6" t="inlineStr">
        <is>
          <t>跨片段歸納</t>
        </is>
      </c>
      <c r="C24" s="6" t="inlineStr">
        <is>
          <t>中</t>
        </is>
      </c>
      <c r="D24" s="7" t="inlineStr">
        <is>
          <t>詞向量要達到什麼效果？老師用什麼例子說明？</t>
        </is>
      </c>
      <c r="E24" s="7" t="inlineStr">
        <is>
          <t>特徵提取就是把文字用向量（一組數字）表達，因為電腦只能算數字、文字不能做數學運算。這組數字不能隨便給，必須能反映語意。老師的例子是：V晶片 減 V半導體 的距離，要小於 V晶片 減 V白飯 的距離，因為晶片和半導體語意比較接近。</t>
        </is>
      </c>
      <c r="F24" s="6" t="inlineStr">
        <is>
          <t>V6</t>
        </is>
      </c>
      <c r="G24" s="7" t="inlineStr">
        <is>
          <t>1478-1766</t>
        </is>
      </c>
      <c r="H24" s="6" t="inlineStr">
        <is>
          <t>N</t>
        </is>
      </c>
      <c r="I24" s="8" t="inlineStr">
        <is>
          <t>目前資料庫片段不足以回答這個問題。</t>
        </is>
      </c>
      <c r="J24" s="8" t="inlineStr">
        <is>
          <t>aiA10_1140119_4 | aiA10_1140119_6 | aiA10_1140119_2 | aiA10_1140119_5</t>
        </is>
      </c>
      <c r="K24" s="8" t="inlineStr">
        <is>
          <t>1420-1426s | 1478-1491s | 1585-1598s | 2012-2025s | 1950-1965s</t>
        </is>
      </c>
      <c r="L24" s="25" t="inlineStr">
        <is>
          <t>Y</t>
        </is>
      </c>
      <c r="M24" s="8" t="inlineStr">
        <is>
          <t>matched</t>
        </is>
      </c>
      <c r="N24" s="8" t="n">
        <v>15</v>
      </c>
      <c r="O24" s="8" t="n">
        <v>0.6633</v>
      </c>
      <c r="P24" s="8" t="inlineStr">
        <is>
          <t>N</t>
        </is>
      </c>
      <c r="Q24" s="8" t="n">
        <v>24.54</v>
      </c>
      <c r="R24" s="26" t="n">
        <v>1</v>
      </c>
      <c r="S24" s="26" t="n">
        <v>5</v>
      </c>
      <c r="T24" s="26" t="n">
        <v>1</v>
      </c>
      <c r="U24" s="26" t="n">
        <v>1</v>
      </c>
      <c r="V24" s="26" t="n">
        <v>2</v>
      </c>
      <c r="W24" s="26" t="n">
        <v>1</v>
      </c>
      <c r="X24" s="26" t="inlineStr">
        <is>
          <t>N</t>
        </is>
      </c>
      <c r="Y24" s="24">
        <f>IF(COUNT(R24:W24)&lt;6,"",IF(X24="Y",MIN(2,R24*0.3+S24*0.2+T24*0.15+U24*0.15+V24*0.1+W24*0.1),R24*0.3+S24*0.2+T24*0.15+U24*0.15+V24*0.1+W24*0.1))</f>
        <v/>
      </c>
      <c r="Z24" s="12" t="inlineStr">
        <is>
          <t>**假拒答**。A1：沒有提供任何內容。B5：沒有編造。C1：gold 要點零覆蓋。D1：沒有引用。E2：同上。F1：matches 內含 V6 1478-1491s，正是老師開始講「特徵工程就是把文字用向量表達」的起點，卻仍拒答。這題耗時 24.54 秒是全場最久，可能與命中片段跨 4 支影片、上下文雜訊高有關。</t>
        </is>
      </c>
      <c r="AA24" s="12" t="n"/>
      <c r="AB24" s="12" t="n"/>
    </row>
    <row r="25" ht="150" customHeight="1">
      <c r="A25" s="6" t="inlineStr">
        <is>
          <t>X01</t>
        </is>
      </c>
      <c r="B25" s="6" t="inlineStr">
        <is>
          <t>跨影片</t>
        </is>
      </c>
      <c r="C25" s="6" t="inlineStr">
        <is>
          <t>中</t>
        </is>
      </c>
      <c r="D25" s="7" t="inlineStr">
        <is>
          <t>這門課提到了哪些大語言模型？分別是哪家公司的？</t>
        </is>
      </c>
      <c r="E25" s="7" t="inlineStr">
        <is>
          <t>ChatGPT / GPT-4o / GPT-4o mini（OpenAI）、Gemini（Google）、Claude（原 OpenAI 工程師跳槽出來成立的公司）、BERT（Google）、Llama / Llama 3（Meta）。</t>
        </is>
      </c>
      <c r="F25" s="6" t="inlineStr">
        <is>
          <t>V2+V3+V5</t>
        </is>
      </c>
      <c r="G25" s="7" t="inlineStr">
        <is>
          <t>V2 71-182,1527-1580 / V3 155-201</t>
        </is>
      </c>
      <c r="H25" s="6" t="inlineStr">
        <is>
          <t>N</t>
        </is>
      </c>
      <c r="I25" s="8" t="inlineStr">
        <is>
          <t>這門課提到的大語言模型與其所屬公司如下：
1. **gymny**：由 Google 推出。
2. **拉馬**（最新版本為**拉馬3**）：由 Meta 公司訓練並開源。
3. **clue**：由原本 OpenAI 工程師跳槽成立的 clue 公司推出。
4. **切gbt**（在片段中亦被稱為**雀的gp**、**雀的gpd**、**確實 gbt**、**雀的gbt**）：課程中多次提及此大語言模型，並提到與 OpenAI 的工程師有關，但未直接說明其所屬公司。
(依據：aiA10_1140119_2 1526.83-1545.43s、aiA10_1140119_2 1545.43-1562.13s、aiA10_1140119_3 154.8-179.88s、aiA10_1140119_3 180.08-201.28s、aiA10_1140119_1 572.55-581.25s、aiA10_1140119_1 594.45-609.85s、aiA10_1140119_2 255.9-266.84s、aiA10_1140119_3 1129.89-1146.59s)</t>
        </is>
      </c>
      <c r="J25" s="8" t="inlineStr">
        <is>
          <t>aiA10_1140119_2 | aiA10_1140119_1 | aiA10_1140119_3 | aiA10_1140119_4 | aiA10_1140119_6</t>
        </is>
      </c>
      <c r="K25" s="8" t="inlineStr">
        <is>
          <t>1527-1545s | 582-594s | 155-180s | 180-201s | 271-285s</t>
        </is>
      </c>
      <c r="L25" s="25" t="inlineStr">
        <is>
          <t>N</t>
        </is>
      </c>
      <c r="M25" s="8" t="inlineStr">
        <is>
          <t>matched</t>
        </is>
      </c>
      <c r="N25" s="8" t="n">
        <v>15</v>
      </c>
      <c r="O25" s="8" t="n">
        <v>0.6767</v>
      </c>
      <c r="P25" s="8" t="inlineStr">
        <is>
          <t>N</t>
        </is>
      </c>
      <c r="Q25" s="8" t="n">
        <v>25.41</v>
      </c>
      <c r="R25" s="26" t="n">
        <v>3</v>
      </c>
      <c r="S25" s="26" t="n">
        <v>5</v>
      </c>
      <c r="T25" s="26" t="n">
        <v>3</v>
      </c>
      <c r="U25" s="26" t="n">
        <v>5</v>
      </c>
      <c r="V25" s="26" t="n">
        <v>2</v>
      </c>
      <c r="W25" s="26" t="n">
        <v>5</v>
      </c>
      <c r="X25" s="26" t="inlineStr">
        <is>
          <t>N</t>
        </is>
      </c>
      <c r="Y25" s="24">
        <f>IF(COUNT(R25:W25)&lt;6,"",IF(X25="Y",MIN(2,R25*0.3+S25*0.2+T25*0.15+U25*0.15+V25*0.1+W25*0.1),R25*0.3+S25*0.2+T25*0.15+U25*0.15+V25*0.1+W25*0.1))</f>
        <v/>
      </c>
      <c r="Z25" s="12" t="inlineStr">
        <is>
          <t>A3：Gemini→Google、Llama→Meta、Claude→前 OpenAI 工程師創立，三項對應正確；但把 ChatGPT 寫成「未直接說明其所屬公司」是判斷錯誤，課程明確講過它是 OpenAI 的。B5：八段依據全部落在 matches 內，沒有幻覺。C3：漏掉 BERT（Google）與 GPT-4o / 4o mini，跨影片盤點不完整。D5：引用正確且橫跨 V1/V2/V3。E2：整份答案的模型名稱全部沿用 STT 錯字——gymny、拉馬、clue、切gbt、雀的gp——學生完全無法辨識這是 Gemini、Llama、Claude、ChatGPT，prompt 規則 4 在這題徹底失效。F5：正常回答。</t>
        </is>
      </c>
      <c r="AA25" s="12" t="n"/>
      <c r="AB25" s="12" t="n"/>
    </row>
    <row r="26" ht="150" customHeight="1">
      <c r="A26" s="6" t="inlineStr">
        <is>
          <t>X02</t>
        </is>
      </c>
      <c r="B26" s="6" t="inlineStr">
        <is>
          <t>跨影片</t>
        </is>
      </c>
      <c r="C26" s="6" t="inlineStr">
        <is>
          <t>難</t>
        </is>
      </c>
      <c r="D26" s="7" t="inlineStr">
        <is>
          <t>課程中提到 Google 對 AI 有哪些貢獻？</t>
        </is>
      </c>
      <c r="E26" s="7" t="inlineStr">
        <is>
          <t>(1) Transformer 論文 Attention is all you need（2017，引用約 15 萬次）；(2) BERT 模型；(3) 搜尋引擎是資訊檢索的老祖宗；(4) 大數據分析的 Hadoop 也源自 Google；(5) 知識圖譜相關技術；(6) 三大廠中 Google 在自然語言處理最強。老師還提到 Google 很尷尬，技術是它發明的卻一直被黑。</t>
        </is>
      </c>
      <c r="F26" s="6" t="inlineStr">
        <is>
          <t>V2+V5+V6</t>
        </is>
      </c>
      <c r="G26" s="7" t="inlineStr">
        <is>
          <t>V2 107-144 / V5 1611-1826 / V6 3-80</t>
        </is>
      </c>
      <c r="H26" s="6" t="inlineStr">
        <is>
          <t>N</t>
        </is>
      </c>
      <c r="I26" s="8" t="inlineStr">
        <is>
          <t>課程中提到 Google 對 AI 的貢獻包括：
1. **自然語言處理技術**：Google 在自然語言處理領域非常厲害，現今絕大部分的自然語言處理技術都來自於 Google。
2. **開放關鍵技術與論文**：
   - 現今廣泛討論的 GPT（ChatGPT）技術，最早是 Google 於 2017 或 2018 年由工程師與實習生撰寫論文並免費開放出來的。
   - 開放了用於增加回答準確性的技術。
3. **大數據分析技術**：大數據分析所使用的 Hadoog 系統，是 Google 發表其運作方式後，由其他程式設計師模仿其技術來源而成的。
4. **模型訓練與大語言模型**：Google 曾利用自身大量訓練資料訓練出特定模型，並推出了大語言模型 gymny。
(依據：aiA10_1140119_5 1611.41-1671.41s、aiA10_1140119_6 2.58-27.88s、aiA10_1140119_6 51.58-80.38s、aiA10_1140119_2 122.72-134.78s、aiA10_1140119_2 1526.83-1545.43s)</t>
        </is>
      </c>
      <c r="J26" s="8" t="inlineStr">
        <is>
          <t>aiA10_1140119_5 | aiA10_1140119_6 | aiA10_1140119_2</t>
        </is>
      </c>
      <c r="K26" s="8" t="inlineStr">
        <is>
          <t>1611-1621s | 1781-1797s | 3-28s | 1635-1654s | 1394-1405s</t>
        </is>
      </c>
      <c r="L26" s="25" t="inlineStr">
        <is>
          <t>N</t>
        </is>
      </c>
      <c r="M26" s="8" t="inlineStr">
        <is>
          <t>matched</t>
        </is>
      </c>
      <c r="N26" s="8" t="n">
        <v>15</v>
      </c>
      <c r="O26" s="8" t="n">
        <v>0.6584</v>
      </c>
      <c r="P26" s="8" t="inlineStr">
        <is>
          <t>N</t>
        </is>
      </c>
      <c r="Q26" s="8" t="n">
        <v>23.07</v>
      </c>
      <c r="R26" s="26" t="n">
        <v>4</v>
      </c>
      <c r="S26" s="26" t="n">
        <v>5</v>
      </c>
      <c r="T26" s="26" t="n">
        <v>4</v>
      </c>
      <c r="U26" s="26" t="n">
        <v>5</v>
      </c>
      <c r="V26" s="26" t="n">
        <v>4</v>
      </c>
      <c r="W26" s="26" t="n">
        <v>5</v>
      </c>
      <c r="X26" s="26" t="inlineStr">
        <is>
          <t>N</t>
        </is>
      </c>
      <c r="Y26" s="24">
        <f>IF(COUNT(R26:W26)&lt;6,"",IF(X26="Y",MIN(2,R26*0.3+S26*0.2+T26*0.15+U26*0.15+V26*0.1+W26*0.1),R26*0.3+S26*0.2+T26*0.15+U26*0.15+V26*0.1+W26*0.1))</f>
        <v/>
      </c>
      <c r="Z26" s="12" t="inlineStr">
        <is>
          <t>A4：NLP 技術多來自 Google、Transformer 論文由工程師帶實習生撰寫並開放、Hadoop、Gemini，皆正確；「2017 或 2018 年」的模糊表述源自逐字稿本身，可接受。B5：五段依據皆在 matches 內。C4：漏掉 BERT 與「搜尋引擎是資訊檢索老祖宗」。D5：跨 V2/V5/V6 引用皆正確。E4：條列清楚，扣在 Hadoop 寫成「Hadoog」、Gemini 寫成「gymny」。F5：判斷正確。</t>
        </is>
      </c>
      <c r="AA26" s="12" t="n"/>
      <c r="AB26" s="12" t="n"/>
    </row>
    <row r="27" ht="150" customHeight="1">
      <c r="A27" s="6" t="inlineStr">
        <is>
          <t>X03</t>
        </is>
      </c>
      <c r="B27" s="6" t="inlineStr">
        <is>
          <t>跨影片</t>
        </is>
      </c>
      <c r="C27" s="6" t="inlineStr">
        <is>
          <t>難</t>
        </is>
      </c>
      <c r="D27" s="7" t="inlineStr">
        <is>
          <t>使用雲端大語言模型有哪些風險？課程舉了哪些真實案例？</t>
        </is>
      </c>
      <c r="E27" s="7" t="inlineStr">
        <is>
          <t>(1) 隱私與資安：三星工程師把半導體技術文件丟給 ChatGPT 導致機密外洩、銀行 AI 部門完全禁用、Sony PSN 2460 萬帳號外洩被罰一千多萬；(2) 被惡意使用：ChatGPT 教人偷車、詐騙集團用它寫詐騙稿；(3) 偏見與言論審查：加州警局人臉辨識對黑人準確率較高被喊卡、華盛頓郵報紐約郵報 vs CNN 實驗。</t>
        </is>
      </c>
      <c r="F27" s="6" t="inlineStr">
        <is>
          <t>V2+V3+V4</t>
        </is>
      </c>
      <c r="G27" s="7" t="inlineStr">
        <is>
          <t>V2 1581-1796 / V3 1-498 / V4 50-580</t>
        </is>
      </c>
      <c r="H27" s="6" t="inlineStr">
        <is>
          <t>N</t>
        </is>
      </c>
      <c r="I27" s="8" t="inlineStr">
        <is>
          <t>使用雲端大語言模型的風險包括：
1. **資安與隱私風險**：使用雲端大模型時，必須將資料（如提問、文件、修改程式碼等）傳送至外部機房（例如 OpenAI），這可能導致企業（如銀行）的資安規則失效。
2. **機密資料被當作訓練資料**：線上大語言模型會根據使用者輸入的內容進行訓練，可能導致敏感資訊外洩。
課程中舉出的真實案例：
* 在 ChatGPT（影片中記為確認GT、CHPGPT）剛推出時，有使用者將整份機密文件丟給 ChatGPT，由於當時處於測試階段且訓練資料控管不夠精確，這些機密資料隨後被當作訓練資料吸收到模型中。
（依據：aiA10_1140119_2 1581.31-1613.73s、1615.89-1631.87s；aiA10_1140119_3 29.01-56.91s、72.35-91.19s、121.43-133.29s、351.61-364.41s）</t>
        </is>
      </c>
      <c r="J27" s="8" t="inlineStr">
        <is>
          <t>aiA10_1140119_3 | aiA10_1140119_2 | aiA10_1140119_4 | aiA10_1140119_1</t>
        </is>
      </c>
      <c r="K27" s="8" t="inlineStr">
        <is>
          <t>352-364s | 1581-1597s | 44-59s | 1616-1632s | 72-91s</t>
        </is>
      </c>
      <c r="L27" s="25" t="inlineStr">
        <is>
          <t>N</t>
        </is>
      </c>
      <c r="M27" s="8" t="inlineStr">
        <is>
          <t>matched</t>
        </is>
      </c>
      <c r="N27" s="8" t="n">
        <v>15</v>
      </c>
      <c r="O27" s="8" t="n">
        <v>0.6717</v>
      </c>
      <c r="P27" s="8" t="inlineStr">
        <is>
          <t>N</t>
        </is>
      </c>
      <c r="Q27" s="8" t="n">
        <v>21.5</v>
      </c>
      <c r="R27" s="26" t="n">
        <v>4</v>
      </c>
      <c r="S27" s="26" t="n">
        <v>5</v>
      </c>
      <c r="T27" s="26" t="n">
        <v>2</v>
      </c>
      <c r="U27" s="26" t="n">
        <v>5</v>
      </c>
      <c r="V27" s="26" t="n">
        <v>4</v>
      </c>
      <c r="W27" s="26" t="n">
        <v>5</v>
      </c>
      <c r="X27" s="26" t="inlineStr">
        <is>
          <t>N</t>
        </is>
      </c>
      <c r="Y27" s="24">
        <f>IF(COUNT(R27:W27)&lt;6,"",IF(X27="Y",MIN(2,R27*0.3+S27*0.2+T27*0.15+U27*0.15+V27*0.1+W27*0.1),R27*0.3+S27*0.2+T27*0.15+U27*0.15+V27*0.1+W27*0.1))</f>
        <v/>
      </c>
      <c r="Z27" s="12" t="inlineStr">
        <is>
          <t>A4：資安與隱私風險、資料被當訓練資料，說得正確。B5：六段依據皆在 matches 內。C2：這是跨影片歸納最失敗的一題——gold 的三大類風險只答到第一類，「被惡意使用」（教偷車、詐騙集團寫稿）與「偏見與言論審查」（加州人臉辨識、華盛頓郵報實驗）完全沒出現；真實案例也只給一個且沒點名三星。D5：引用正確。E4：結構清楚但內容偏窄。F5：判斷正確。</t>
        </is>
      </c>
      <c r="AA27" s="12" t="n"/>
      <c r="AB27" s="12" t="n"/>
    </row>
    <row r="28" ht="150" customHeight="1">
      <c r="A28" s="6" t="inlineStr">
        <is>
          <t>X04</t>
        </is>
      </c>
      <c r="B28" s="6" t="inlineStr">
        <is>
          <t>跨影片</t>
        </is>
      </c>
      <c r="C28" s="6" t="inlineStr">
        <is>
          <t>難</t>
        </is>
      </c>
      <c r="D28" s="7" t="inlineStr">
        <is>
          <t>為什麼老師說 AI 不是突然冒出來的？</t>
        </is>
      </c>
      <c r="E28" s="7" t="inlineStr">
        <is>
          <t>(1) 圖靈在二戰時就想讓機器具有數學家的智慧來破解電報密碼，圖靈測試 1950 年提出；(2) 深度學習的神經網路 1980 年就被提出，快 40 年了；(3) 當時做不好是因為算力不夠（寫程式還要畫答案卡的電腦）、資料量也不夠；(4) 後來摩爾定律讓運算效能不斷翻倍，2015 年大數據論文指出一天產生的資料量超過西元元年到 2000 年的總和；(5) 資料夠、算力夠，40 年前想到的方法才做得起來。</t>
        </is>
      </c>
      <c r="F28" s="6" t="inlineStr">
        <is>
          <t>V2</t>
        </is>
      </c>
      <c r="G28" s="7" t="inlineStr">
        <is>
          <t>398-754</t>
        </is>
      </c>
      <c r="H28" s="6" t="inlineStr">
        <is>
          <t>N</t>
        </is>
      </c>
      <c r="I28" s="8" t="inlineStr">
        <is>
          <t>老師說 AI 不是突然冒出來的，原因如下：
1. 人們在六、七十年前就想要做 AI，並一直努力到現在才做出現在的成果。
2. 深度學習所使用的神經網路方法早在 1980 年（40年前）就已經被提出，只是當時面臨資料與算力不足的問題。如今資料與算力都足夠了，這些方法才被拿出來應用。
（依據：aiA10_1140119_2 517.21-534.61s、717.49-751.45s）</t>
        </is>
      </c>
      <c r="J28" s="8" t="inlineStr">
        <is>
          <t>aiA10_1140119_2 | aiA10_1140119_6 | aiA10_1140119_1 | aiA10_1140119_4 | aiA10_1140119_3</t>
        </is>
      </c>
      <c r="K28" s="8" t="inlineStr">
        <is>
          <t>370-386s | 517-535s | 754-769s | 738-751s | 675-689s</t>
        </is>
      </c>
      <c r="L28" s="25" t="inlineStr">
        <is>
          <t>N</t>
        </is>
      </c>
      <c r="M28" s="8" t="inlineStr">
        <is>
          <t>matched</t>
        </is>
      </c>
      <c r="N28" s="8" t="n">
        <v>15</v>
      </c>
      <c r="O28" s="8" t="n">
        <v>0.6998</v>
      </c>
      <c r="P28" s="8" t="inlineStr">
        <is>
          <t>N</t>
        </is>
      </c>
      <c r="Q28" s="8" t="n">
        <v>15.88</v>
      </c>
      <c r="R28" s="26" t="n">
        <v>5</v>
      </c>
      <c r="S28" s="26" t="n">
        <v>5</v>
      </c>
      <c r="T28" s="26" t="n">
        <v>3</v>
      </c>
      <c r="U28" s="26" t="n">
        <v>5</v>
      </c>
      <c r="V28" s="26" t="n">
        <v>5</v>
      </c>
      <c r="W28" s="26" t="n">
        <v>5</v>
      </c>
      <c r="X28" s="26" t="inlineStr">
        <is>
          <t>N</t>
        </is>
      </c>
      <c r="Y28" s="24">
        <f>IF(COUNT(R28:W28)&lt;6,"",IF(X28="Y",MIN(2,R28*0.3+S28*0.2+T28*0.15+U28*0.15+V28*0.1+W28*0.1),R28*0.3+S28*0.2+T28*0.15+U28*0.15+V28*0.1+W28*0.1))</f>
        <v/>
      </c>
      <c r="Z28" s="12" t="inlineStr">
        <is>
          <t>A5：六七十年前就在做、1980 神經網路、當年資料與算力不足、現在都夠了，皆正確。B5：兩段依據皆在 matches 內。C3：漏掉圖靈與 1950 圖靈測試、摩爾定律、2015 大數據論文三個支撐點，論證只剩骨架。D5：引用正確。E5：條列清楚。F5：判斷正確。</t>
        </is>
      </c>
      <c r="AA28" s="12" t="n"/>
      <c r="AB28" s="12" t="n"/>
    </row>
    <row r="29" ht="150" customHeight="1">
      <c r="A29" s="6" t="inlineStr">
        <is>
          <t>X05</t>
        </is>
      </c>
      <c r="B29" s="6" t="inlineStr">
        <is>
          <t>跨影片</t>
        </is>
      </c>
      <c r="C29" s="6" t="inlineStr">
        <is>
          <t>難</t>
        </is>
      </c>
      <c r="D29" s="7" t="inlineStr">
        <is>
          <t>OpenAI 開放了哪些東西？哪些沒開放？為什麼？</t>
        </is>
      </c>
      <c r="E29" s="7" t="inlineStr">
        <is>
          <t>開放：CLIP（2020 年開放下載，文字圖片對齊模型）、強化學習框架 OpenAI Gym。沒開放：ChatGPT 的模型本體、Sora 的 API。原因：ChatGPT 就算送人一般人也跑不起來（要 Azure 等級機房），開放只會爽到競爭對手，讓對手拿它的東西去賺錢，違背 Open 的初衷，所以放在雲上讓人付費使用；Sora 不開放 API 是因為太消耗算力，目前系統撐不住。</t>
        </is>
      </c>
      <c r="F29" s="6" t="inlineStr">
        <is>
          <t>V5</t>
        </is>
      </c>
      <c r="G29" s="7" t="inlineStr">
        <is>
          <t>1271-1577</t>
        </is>
      </c>
      <c r="H29" s="6" t="inlineStr">
        <is>
          <t>N</t>
        </is>
      </c>
      <c r="I29" s="8" t="inlineStr">
        <is>
          <t>OpenAI 開放與未開放的內容及原因如下：
**開放的東西：**
* 許多的研究結果。
* 2020 年直接在網路上公開供所有人下載的模型。
* 用於訓練強化學習的經典函式庫「GIN」。
**沒開放的東西：**
* ChatGPT 的模型。
* API（目前僅限於網頁版 ChatGPT 中呼叫）。
**原因：**
* **不開放 ChatGPT 模型的原因**：如果開放出來，只會利益到競爭對手，因此選擇將其放在雲端。
* **不開放 API 的原因**：因為太消耗算力（運算能力），若開放 API 他們目前可能會撐不住。
（依據：aiA10_1140119_5 1382.14-1417.14s、1486.14-1496.14s、1541-1567s）</t>
        </is>
      </c>
      <c r="J29" s="8" t="inlineStr">
        <is>
          <t>aiA10_1140119_5 | aiA10_1140119_4 | aiA10_1140119_3 | aiA10_1140119_1 | aiA10_1140119_2</t>
        </is>
      </c>
      <c r="K29" s="8" t="inlineStr">
        <is>
          <t>1417-1428s | 1394-1405s | 1541-1552s | 529-538s | 1382-1394s</t>
        </is>
      </c>
      <c r="L29" s="25" t="inlineStr">
        <is>
          <t>N</t>
        </is>
      </c>
      <c r="M29" s="8" t="inlineStr">
        <is>
          <t>matched</t>
        </is>
      </c>
      <c r="N29" s="8" t="n">
        <v>15</v>
      </c>
      <c r="O29" s="8" t="n">
        <v>0.7032</v>
      </c>
      <c r="P29" s="8" t="inlineStr">
        <is>
          <t>N</t>
        </is>
      </c>
      <c r="Q29" s="8" t="n">
        <v>19.1</v>
      </c>
      <c r="R29" s="26" t="n">
        <v>2</v>
      </c>
      <c r="S29" s="26" t="n">
        <v>4</v>
      </c>
      <c r="T29" s="26" t="n">
        <v>3</v>
      </c>
      <c r="U29" s="26" t="n">
        <v>5</v>
      </c>
      <c r="V29" s="26" t="n">
        <v>4</v>
      </c>
      <c r="W29" s="26" t="n">
        <v>5</v>
      </c>
      <c r="X29" s="26" t="inlineStr">
        <is>
          <t>N</t>
        </is>
      </c>
      <c r="Y29" s="24">
        <f>IF(COUNT(R29:W29)&lt;6,"",IF(X29="Y",MIN(2,R29*0.3+S29*0.2+T29*0.15+U29*0.15+V29*0.1+W29*0.1),R29*0.3+S29*0.2+T29*0.15+U29*0.15+V29*0.1+W29*0.1))</f>
        <v/>
      </c>
      <c r="Z29" s="12" t="inlineStr">
        <is>
          <t>A2：「沒開放 API」是實質錯誤且會誤導——課程明講後面整堂課都要用 ChatGPT 的 API，不開放 API 的是 Sora。模型把 Sora 的限制誤植成 OpenAI 的整體政策。另外 2020 年開放的模型沒點出名字（CLIP）。B4：每句都有片段出處，但把 Sora 段落的結論張冠李戴到 OpenAI 頭上，屬於錯誤綜合。C3：開放清單漏 CLIP 名稱，未開放清單答錯一項。D5：三段依據皆在 matches 內。E4：分標題結構清楚。F5：判斷正確。</t>
        </is>
      </c>
      <c r="AA29" s="12" t="n"/>
      <c r="AB29" s="12" t="n"/>
    </row>
    <row r="30" ht="150" customHeight="1">
      <c r="A30" s="6" t="inlineStr">
        <is>
          <t>D01</t>
        </is>
      </c>
      <c r="B30" s="6" t="inlineStr">
        <is>
          <t>名詞定義</t>
        </is>
      </c>
      <c r="C30" s="6" t="inlineStr">
        <is>
          <t>中</t>
        </is>
      </c>
      <c r="D30" s="7" t="inlineStr">
        <is>
          <t>什麼是 RAG？</t>
        </is>
      </c>
      <c r="E30" s="7" t="inlineStr">
        <is>
          <t>RAG 是 Retrieval Augmented Generation，檢索增強生成。做法是先把自己的規則或文件整理好，使用者提問時先去比對出相關的那一條，把那段文字複製出來貼給 ChatGPT，要它根據這份規定來回答，這樣就不會答錯。課程用香港公司幫電商做客服 QA 當例子。</t>
        </is>
      </c>
      <c r="F30" s="6" t="inlineStr">
        <is>
          <t>V2</t>
        </is>
      </c>
      <c r="G30" s="7" t="inlineStr">
        <is>
          <t>1351-1512</t>
        </is>
      </c>
      <c r="H30" s="6" t="inlineStr">
        <is>
          <t>N</t>
        </is>
      </c>
      <c r="I30" s="8" t="inlineStr">
        <is>
          <t>RAG 是指「檢索增強生成」，其英文縮寫分別代表 Retrieval（檢索）、Augmented（增強）與 Generation（生成）。
（依據：aiA10_1140119_2 1473.26-1512.26s）</t>
        </is>
      </c>
      <c r="J30" s="8" t="inlineStr">
        <is>
          <t>aiA10_1140119_2 | aiA10_1140119_5 | aiA10_1140119_3 | aiA10_1140119_1 | aiA10_1140119_6 | aiA10_1140119_4</t>
        </is>
      </c>
      <c r="K30" s="8" t="inlineStr">
        <is>
          <t>1490-1499s | 1499-1512s | 1473-1490s | 1598-1611s | 155-180s</t>
        </is>
      </c>
      <c r="L30" s="25" t="inlineStr">
        <is>
          <t>N</t>
        </is>
      </c>
      <c r="M30" s="8" t="inlineStr">
        <is>
          <t>matched</t>
        </is>
      </c>
      <c r="N30" s="8" t="n">
        <v>15</v>
      </c>
      <c r="O30" s="8" t="n">
        <v>0.6574</v>
      </c>
      <c r="P30" s="8" t="inlineStr">
        <is>
          <t>N</t>
        </is>
      </c>
      <c r="Q30" s="8" t="n">
        <v>15.14</v>
      </c>
      <c r="R30" s="26" t="n">
        <v>5</v>
      </c>
      <c r="S30" s="26" t="n">
        <v>5</v>
      </c>
      <c r="T30" s="26" t="n">
        <v>2</v>
      </c>
      <c r="U30" s="26" t="n">
        <v>5</v>
      </c>
      <c r="V30" s="26" t="n">
        <v>5</v>
      </c>
      <c r="W30" s="26" t="n">
        <v>5</v>
      </c>
      <c r="X30" s="26" t="inlineStr">
        <is>
          <t>N</t>
        </is>
      </c>
      <c r="Y30" s="24">
        <f>IF(COUNT(R30:W30)&lt;6,"",IF(X30="Y",MIN(2,R30*0.3+S30*0.2+T30*0.15+U30*0.15+V30*0.1+W30*0.1),R30*0.3+S30*0.2+T30*0.15+U30*0.15+V30*0.1+W30*0.1))</f>
        <v/>
      </c>
      <c r="Z30" s="12" t="inlineStr">
        <is>
          <t>A5：Retrieval Augmented Generation、檢索增強生成，拆解完全正確。B5：出自 1473-1512s。C2：只給了名詞展開，完全沒講 RAG 的做法（先比對出相關條文再貼給 ChatGPT 依此回答），也沒帶課程用的香港電商客服例子——而 matches 前三名正是 1473-1490s、1490-1499s、1499-1512s 那整段。D5：引用正確。E5：精簡。F5：判斷正確。</t>
        </is>
      </c>
      <c r="AA30" s="12" t="n"/>
      <c r="AB30" s="12" t="n"/>
    </row>
    <row r="31" ht="150" customHeight="1">
      <c r="A31" s="6" t="inlineStr">
        <is>
          <t>D02</t>
        </is>
      </c>
      <c r="B31" s="6" t="inlineStr">
        <is>
          <t>名詞定義</t>
        </is>
      </c>
      <c r="C31" s="6" t="inlineStr">
        <is>
          <t>中</t>
        </is>
      </c>
      <c r="D31" s="7" t="inlineStr">
        <is>
          <t>什麼是大語言模型？跟一般語言模型差在哪？</t>
        </is>
      </c>
      <c r="E31" s="7" t="inlineStr">
        <is>
          <t>大語言模型的「大」指模型參數量非常多、丟進去訓練的資料也非常多，因此需要的運算資源很大、成本極高，一般公司甚至國家都不見得做得起來。BERT 就屬於「不大」的語言模型。而且這個定義隨時間改變：2019 年 BERT 剛出來時就算大模型，現在看是小兒科。大語言模型現在已是獨立出來的研究領域。</t>
        </is>
      </c>
      <c r="F31" s="6" t="inlineStr">
        <is>
          <t>V1+V2</t>
        </is>
      </c>
      <c r="G31" s="7" t="inlineStr">
        <is>
          <t>V1 573-624 / V2 59-182</t>
        </is>
      </c>
      <c r="H31" s="6" t="inlineStr">
        <is>
          <t>N</t>
        </is>
      </c>
      <c r="I31" s="8" t="inlineStr">
        <is>
          <t>大語言模型（例如 ChatGPT、Google Gemini）是一種語言模型，其特點與和一般語言模型的差異如下：
**什麼是大語言模型：**
* **參數量與訓練資料極大**：模型本身的參數量非常多，且訓練所需的資料量與運算資源都非常巨大。
* **多語言處理能力**：通常具有能夠處理多種語言混合的特色。
**與一般語言模型的差別：**
* **成本極高**：大語言模型的整體成本高出許多倍，其高昂的成本導致一般公司甚至國家都不見得有能力去發展。
* **定義隨技術發展而變**：雖然目前有區分「不大的語言模型」，但隨著未來技術突破，現在的大語言模型在以後也可能被視為一般語言模型。
（依據：aiA10_1140119_1 594.45-623.41s、624.39-637.91s；aiA10_1140119_2 59.02-70.08s、83.12-92.26s、157.08-168.98s、1039.06-1051.36s、1526.83-1545.43s）</t>
        </is>
      </c>
      <c r="J31" s="8" t="inlineStr">
        <is>
          <t>aiA10_1140119_1 | aiA10_1140119_2 | aiA10_1140119_4</t>
        </is>
      </c>
      <c r="K31" s="8" t="inlineStr">
        <is>
          <t>582-594s | 594-610s | 610-623s | 1039-1051s | 59-70s</t>
        </is>
      </c>
      <c r="L31" s="25" t="inlineStr">
        <is>
          <t>N</t>
        </is>
      </c>
      <c r="M31" s="8" t="inlineStr">
        <is>
          <t>matched</t>
        </is>
      </c>
      <c r="N31" s="8" t="n">
        <v>15</v>
      </c>
      <c r="O31" s="8" t="n">
        <v>0.7198</v>
      </c>
      <c r="P31" s="8" t="inlineStr">
        <is>
          <t>N</t>
        </is>
      </c>
      <c r="Q31" s="8" t="n">
        <v>21.8</v>
      </c>
      <c r="R31" s="26" t="n">
        <v>5</v>
      </c>
      <c r="S31" s="26" t="n">
        <v>5</v>
      </c>
      <c r="T31" s="26" t="n">
        <v>4</v>
      </c>
      <c r="U31" s="26" t="n">
        <v>5</v>
      </c>
      <c r="V31" s="26" t="n">
        <v>5</v>
      </c>
      <c r="W31" s="26" t="n">
        <v>5</v>
      </c>
      <c r="X31" s="26" t="inlineStr">
        <is>
          <t>N</t>
        </is>
      </c>
      <c r="Y31" s="24">
        <f>IF(COUNT(R31:W31)&lt;6,"",IF(X31="Y",MIN(2,R31*0.3+S31*0.2+T31*0.15+U31*0.15+V31*0.1+W31*0.1),R31*0.3+S31*0.2+T31*0.15+U31*0.15+V31*0.1+W31*0.1))</f>
        <v/>
      </c>
      <c r="Z31" s="12" t="inlineStr">
        <is>
          <t>A5：參數量大、訓練資料大、運算資源大、成本高到一般公司甚至國家做不起、定義隨時間改變，全部正確。B5：七段依據幾乎全在 matches 內。C4：漏掉「BERT 是不大的語言模型」這個對照例。D5：跨 V1/V2 引用正確。E5：雙層標題結構，可讀性最佳的一題。F5：判斷正確。</t>
        </is>
      </c>
      <c r="AA31" s="12" t="n"/>
      <c r="AB31" s="12" t="n"/>
    </row>
    <row r="32" ht="150" customHeight="1">
      <c r="A32" s="6" t="inlineStr">
        <is>
          <t>D04</t>
        </is>
      </c>
      <c r="B32" s="6" t="inlineStr">
        <is>
          <t>名詞定義</t>
        </is>
      </c>
      <c r="C32" s="6" t="inlineStr">
        <is>
          <t>易</t>
        </is>
      </c>
      <c r="D32" s="7" t="inlineStr">
        <is>
          <t>什麼是斷詞斷句？為什麼要做？</t>
        </is>
      </c>
      <c r="E32" s="7" t="inlineStr">
        <is>
          <t>把一整段文章拆成一個一個的單字，這樣才能去計算單字與單字之間的關係。例如「附近的餐廳」要拆成「附近」「的」「餐廳」，才能算出誰是主、誰是副、誰跟誰有什麼關係；拆不開就沒辦法算。</t>
        </is>
      </c>
      <c r="F32" s="6" t="inlineStr">
        <is>
          <t>V6</t>
        </is>
      </c>
      <c r="G32" s="7" t="inlineStr">
        <is>
          <t>708-768</t>
        </is>
      </c>
      <c r="H32" s="6" t="inlineStr">
        <is>
          <t>N</t>
        </is>
      </c>
      <c r="I32" s="8" t="inlineStr">
        <is>
          <t>斷詞斷句是指將一整段的文章或文字拆成一個一個的單字。
之所以要做，是因為：
1. 拆成一個一個的單字後，才能夠去計算單字與單字之間的關係（例如將「我要找附近的餐廳」拆成三個詞，才能計算誰是主）。
2. 這是將文字變成特徵（即變成含有意義的數字）前，所需要做的第一個步驟。
(依據：aiA10_1140119_6 723.72-739.02s、739.26-754.26s、1853.6-1869s)</t>
        </is>
      </c>
      <c r="J32" s="8" t="inlineStr">
        <is>
          <t>aiA10_1140119_6 | aiA10_1140119_4 | aiA10_1140119_5</t>
        </is>
      </c>
      <c r="K32" s="8" t="inlineStr">
        <is>
          <t>786-799s | 1420-1426s | 1854-1869s | 928-943s | 724-739s</t>
        </is>
      </c>
      <c r="L32" s="25" t="inlineStr">
        <is>
          <t>N</t>
        </is>
      </c>
      <c r="M32" s="8" t="inlineStr">
        <is>
          <t>matched</t>
        </is>
      </c>
      <c r="N32" s="8" t="n">
        <v>15</v>
      </c>
      <c r="O32" s="8" t="n">
        <v>0.6691</v>
      </c>
      <c r="P32" s="8" t="inlineStr">
        <is>
          <t>N</t>
        </is>
      </c>
      <c r="Q32" s="8" t="n">
        <v>18.48</v>
      </c>
      <c r="R32" s="26" t="n">
        <v>5</v>
      </c>
      <c r="S32" s="26" t="n">
        <v>5</v>
      </c>
      <c r="T32" s="26" t="n">
        <v>5</v>
      </c>
      <c r="U32" s="26" t="n">
        <v>5</v>
      </c>
      <c r="V32" s="26" t="n">
        <v>5</v>
      </c>
      <c r="W32" s="26" t="n">
        <v>5</v>
      </c>
      <c r="X32" s="26" t="inlineStr">
        <is>
          <t>N</t>
        </is>
      </c>
      <c r="Y32" s="24">
        <f>IF(COUNT(R32:W32)&lt;6,"",IF(X32="Y",MIN(2,R32*0.3+S32*0.2+T32*0.15+U32*0.15+V32*0.1+W32*0.1),R32*0.3+S32*0.2+T32*0.15+U32*0.15+V32*0.1+W32*0.1))</f>
        <v/>
      </c>
      <c r="Z32" s="12" t="inlineStr">
        <is>
          <t>A5：拆成單字、才能算字與字的關係，定義正確。B5：三段依據皆在 matches 內。C5：gold 要點全覆蓋，還額外補上「這是把文字變成特徵前的第一步」的脈絡。D5：引用正確。E5：先定義後理由，結構好。F5：判斷正確。</t>
        </is>
      </c>
      <c r="AA32" s="12" t="n"/>
      <c r="AB32" s="12" t="n"/>
    </row>
    <row r="33" ht="150" customHeight="1">
      <c r="A33" s="6" t="inlineStr">
        <is>
          <t>D05</t>
        </is>
      </c>
      <c r="B33" s="6" t="inlineStr">
        <is>
          <t>名詞定義</t>
        </is>
      </c>
      <c r="C33" s="6" t="inlineStr">
        <is>
          <t>中</t>
        </is>
      </c>
      <c r="D33" s="7" t="inlineStr">
        <is>
          <t>什麼是詞幹處理？</t>
        </is>
      </c>
      <c r="E33" s="7" t="inlineStr">
        <is>
          <t>把英文單字尾巴的變化去掉（例如 -s、-ing、過去式），因為同一個字在英文有很多種長相，但句子裡的意思是一樣的，程式做字串比對時比不出來。有些情況只要去掉字尾，有些還要還原成原本的樣子。</t>
        </is>
      </c>
      <c r="F33" s="6" t="inlineStr">
        <is>
          <t>V6</t>
        </is>
      </c>
      <c r="G33" s="7" t="inlineStr">
        <is>
          <t>1024-1097</t>
        </is>
      </c>
      <c r="H33" s="6" t="inlineStr">
        <is>
          <t>N</t>
        </is>
      </c>
      <c r="I33" s="8" t="inlineStr">
        <is>
          <t>目前資料庫片段不足以回答這個問題。</t>
        </is>
      </c>
      <c r="J33" s="8" t="inlineStr">
        <is>
          <t>aiA10_1140119_5 | aiA10_1140119_6 | aiA10_1140119_4</t>
        </is>
      </c>
      <c r="K33" s="8" t="inlineStr">
        <is>
          <t>246-893s | 799-811s | 739-754s | 1433-1446s | 1598-1611s</t>
        </is>
      </c>
      <c r="L33" s="25" t="inlineStr">
        <is>
          <t>Y</t>
        </is>
      </c>
      <c r="M33" s="8" t="inlineStr">
        <is>
          <t>matched</t>
        </is>
      </c>
      <c r="N33" s="8" t="n">
        <v>15</v>
      </c>
      <c r="O33" s="8" t="n">
        <v>0.5701000000000001</v>
      </c>
      <c r="P33" s="8" t="inlineStr">
        <is>
          <t>N</t>
        </is>
      </c>
      <c r="Q33" s="8" t="n">
        <v>14.4</v>
      </c>
      <c r="R33" s="26" t="n">
        <v>1</v>
      </c>
      <c r="S33" s="26" t="n">
        <v>5</v>
      </c>
      <c r="T33" s="26" t="n">
        <v>1</v>
      </c>
      <c r="U33" s="26" t="n">
        <v>1</v>
      </c>
      <c r="V33" s="26" t="n">
        <v>2</v>
      </c>
      <c r="W33" s="26" t="n">
        <v>2</v>
      </c>
      <c r="X33" s="26" t="inlineStr">
        <is>
          <t>N</t>
        </is>
      </c>
      <c r="Y33" s="24">
        <f>IF(COUNT(R33:W33)&lt;6,"",IF(X33="Y",MIN(2,R33*0.3+S33*0.2+T33*0.15+U33*0.15+V33*0.1+W33*0.1),R33*0.3+S33*0.2+T33*0.15+U33*0.15+V33*0.1+W33*0.1))</f>
        <v/>
      </c>
      <c r="Z33" s="12" t="inlineStr">
        <is>
          <t>**假拒答，但成因與 M13/M14 不同**。A1：沒有提供內容。B5：沒有編造。C1：零覆蓋。D1：沒有引用。E2：同其他拒答。F2：這題 top score 只有 0.5701，是全場最低的非負向題，matches 也沒撈到 V6 1055-1097s 詞幹處理那段——是檢索沒找到而不是生成端保守。在檢索失敗的前提下拒答比硬掰好，所以不給 F1。</t>
        </is>
      </c>
      <c r="AA33" s="12" t="n"/>
      <c r="AB33" s="12" t="n"/>
    </row>
    <row r="34" ht="150" customHeight="1">
      <c r="A34" s="6" t="inlineStr">
        <is>
          <t>D07</t>
        </is>
      </c>
      <c r="B34" s="6" t="inlineStr">
        <is>
          <t>名詞定義</t>
        </is>
      </c>
      <c r="C34" s="6" t="inlineStr">
        <is>
          <t>中</t>
        </is>
      </c>
      <c r="D34" s="7" t="inlineStr">
        <is>
          <t>什麼是黑盒子問題？</t>
        </is>
      </c>
      <c r="E34" s="7" t="inlineStr">
        <is>
          <t>深度學習模型中間經過大量神經網路運算與權重調整（WX+B），你無法解釋它為什麼算出這個結果，這就是黑盒子。課程的例子是 ChatGPT 出現疑似言論審查的行為時，連 OpenAI 自己開發的工程師都不知道為什麼會這樣，只能推測。</t>
        </is>
      </c>
      <c r="F34" s="6" t="inlineStr">
        <is>
          <t>V4</t>
        </is>
      </c>
      <c r="G34" s="7" t="inlineStr">
        <is>
          <t>492-549</t>
        </is>
      </c>
      <c r="H34" s="6" t="inlineStr">
        <is>
          <t>N</t>
        </is>
      </c>
      <c r="I34" s="8" t="inlineStr">
        <is>
          <t>黑盒子問題是指AI的深度學習模型，其運作中間經過了大量的神經網路與數據運算（如WX加B），導致人們不知道中間到底發生了什麼事情，也無法確切知道為什麼會產生這樣的結果（連開發該功能的OpenAI也無法得知），最後只能對問題的發生做出一些推測。
（影片：aiA10_1140119_4 491.64-516.64s, 528.64-548.64s）</t>
        </is>
      </c>
      <c r="J34" s="8" t="inlineStr">
        <is>
          <t>aiA10_1140119_4 | aiA10_1140119_1 | aiA10_1140119_3 | aiA10_1140119_2 | aiA10_1140119_6</t>
        </is>
      </c>
      <c r="K34" s="8" t="inlineStr">
        <is>
          <t>529-538s | 504-517s | 122-138s | 213-227s | 180-191s</t>
        </is>
      </c>
      <c r="L34" s="25" t="inlineStr">
        <is>
          <t>N</t>
        </is>
      </c>
      <c r="M34" s="8" t="inlineStr">
        <is>
          <t>matched</t>
        </is>
      </c>
      <c r="N34" s="8" t="n">
        <v>15</v>
      </c>
      <c r="O34" s="8" t="n">
        <v>0.6568000000000001</v>
      </c>
      <c r="P34" s="8" t="inlineStr">
        <is>
          <t>N</t>
        </is>
      </c>
      <c r="Q34" s="8" t="n">
        <v>16.07</v>
      </c>
      <c r="R34" s="26" t="n">
        <v>5</v>
      </c>
      <c r="S34" s="26" t="n">
        <v>5</v>
      </c>
      <c r="T34" s="26" t="n">
        <v>5</v>
      </c>
      <c r="U34" s="26" t="n">
        <v>5</v>
      </c>
      <c r="V34" s="26" t="n">
        <v>5</v>
      </c>
      <c r="W34" s="26" t="n">
        <v>5</v>
      </c>
      <c r="X34" s="26" t="inlineStr">
        <is>
          <t>N</t>
        </is>
      </c>
      <c r="Y34" s="24">
        <f>IF(COUNT(R34:W34)&lt;6,"",IF(X34="Y",MIN(2,R34*0.3+S34*0.2+T34*0.15+U34*0.15+V34*0.1+W34*0.1),R34*0.3+S34*0.2+T34*0.15+U34*0.15+V34*0.1+W34*0.1))</f>
        <v/>
      </c>
      <c r="Z34" s="12" t="inlineStr">
        <is>
          <t>A5：大量神經網路運算、WX+B、無法解釋、連 OpenAI 也不知道、只能推測，全部正確。B5：兩段依據皆在 matches 內。C5：gold 要點全覆蓋。D5：引用正確。E5：一段話交代完整。F5：判斷正確。</t>
        </is>
      </c>
      <c r="AA34" s="12" t="n"/>
      <c r="AB34" s="12" t="n"/>
    </row>
    <row r="35" ht="150" customHeight="1">
      <c r="A35" s="6" t="inlineStr">
        <is>
          <t>T01</t>
        </is>
      </c>
      <c r="B35" s="6" t="inlineStr">
        <is>
          <t>時間定位</t>
        </is>
      </c>
      <c r="C35" s="6" t="inlineStr">
        <is>
          <t>中</t>
        </is>
      </c>
      <c r="D35" s="7" t="inlineStr">
        <is>
          <t>老師是在哪裡講全聯先生廣告的？</t>
        </is>
      </c>
      <c r="E35" s="7" t="inlineStr">
        <is>
          <t>在 aiA10_1140119_1 約 328-441 秒（約 5:28-7:21）講全聯先生泡麵廣告，用來說明「一本正經講幹話」。</t>
        </is>
      </c>
      <c r="F35" s="6" t="inlineStr">
        <is>
          <t>V1</t>
        </is>
      </c>
      <c r="G35" s="7" t="inlineStr">
        <is>
          <t>328-441</t>
        </is>
      </c>
      <c r="H35" s="6" t="inlineStr">
        <is>
          <t>N</t>
        </is>
      </c>
      <c r="I35" s="8" t="inlineStr">
        <is>
          <t>目前資料庫片段不足以回答這個問題。</t>
        </is>
      </c>
      <c r="J35" s="8" t="inlineStr">
        <is>
          <t>aiA10_1140119_1 | aiA10_1140119_4 | aiA10_1140119_6</t>
        </is>
      </c>
      <c r="K35" s="8" t="inlineStr">
        <is>
          <t>407-418s | 328-341s | 342-353s | 376-387s | 432-441s</t>
        </is>
      </c>
      <c r="L35" s="25" t="inlineStr">
        <is>
          <t>Y</t>
        </is>
      </c>
      <c r="M35" s="8" t="inlineStr">
        <is>
          <t>matched</t>
        </is>
      </c>
      <c r="N35" s="8" t="n">
        <v>15</v>
      </c>
      <c r="O35" s="8" t="n">
        <v>0.6526</v>
      </c>
      <c r="P35" s="8" t="inlineStr">
        <is>
          <t>N</t>
        </is>
      </c>
      <c r="Q35" s="8" t="n">
        <v>16.59</v>
      </c>
      <c r="R35" s="26" t="n">
        <v>1</v>
      </c>
      <c r="S35" s="26" t="n">
        <v>5</v>
      </c>
      <c r="T35" s="26" t="n">
        <v>1</v>
      </c>
      <c r="U35" s="26" t="n">
        <v>1</v>
      </c>
      <c r="V35" s="26" t="n">
        <v>2</v>
      </c>
      <c r="W35" s="26" t="n">
        <v>1</v>
      </c>
      <c r="X35" s="26" t="inlineStr">
        <is>
          <t>N</t>
        </is>
      </c>
      <c r="Y35" s="24">
        <f>IF(COUNT(R35:W35)&lt;6,"",IF(X35="Y",MIN(2,R35*0.3+S35*0.2+T35*0.15+U35*0.15+V35*0.1+W35*0.1),R35*0.3+S35*0.2+T35*0.15+U35*0.15+V35*0.1+W35*0.1))</f>
        <v/>
      </c>
      <c r="Z35" s="12" t="inlineStr">
        <is>
          <t>**假拒答，全場最刺眼的一題**。A1：沒有提供內容。B5：沒有編造。C1：零覆蓋。D1：沒有引用。F1：matches 的五個命中片段 328-341s、342-353s、376-387s、407-418s、432-441s 幾乎把全聯先生廣告那整段完整涵蓋，時間範圍與 gold 的 328-441s 完全吻合，檢索是滿分表現，卻回了「片段不足」。E2：罐頭句清楚但無用。</t>
        </is>
      </c>
      <c r="AA35" s="12" t="n"/>
      <c r="AB35" s="12" t="n"/>
    </row>
    <row r="36" ht="150" customHeight="1">
      <c r="A36" s="6" t="inlineStr">
        <is>
          <t>T02</t>
        </is>
      </c>
      <c r="B36" s="6" t="inlineStr">
        <is>
          <t>時間定位</t>
        </is>
      </c>
      <c r="C36" s="6" t="inlineStr">
        <is>
          <t>中</t>
        </is>
      </c>
      <c r="D36" s="7" t="inlineStr">
        <is>
          <t>老師講珍珠奶茶點餐的例子是在哪一段？</t>
        </is>
      </c>
      <c r="E36" s="7" t="inlineStr">
        <is>
          <t>在 aiA10_1140119_2 約 865-948 秒（約 14:25-15:48），用來說明多輪問答。</t>
        </is>
      </c>
      <c r="F36" s="6" t="inlineStr">
        <is>
          <t>V2</t>
        </is>
      </c>
      <c r="G36" s="7" t="inlineStr">
        <is>
          <t>865-948</t>
        </is>
      </c>
      <c r="H36" s="6" t="inlineStr">
        <is>
          <t>N</t>
        </is>
      </c>
      <c r="I36" s="8" t="inlineStr">
        <is>
          <t>老師講述珍珠奶茶點餐例子的片段位於影片 `aiA10_1140119_2` 的 865.88 秒至 1006.66 秒。
在此段落中，老師以向店員點一杯珍珠奶茶為例，說明點餐時需要確認冰熱、甜度（糖分）等細節，並指出這些對話必須互相連結、湊齊所有資訊，才能完成交易並得出最後的結果。
（依據：aiA10_1140119_2 865.88-1006.66s）</t>
        </is>
      </c>
      <c r="J36" s="8" t="inlineStr">
        <is>
          <t>aiA10_1140119_2 | aiA10_1140119_4 | aiA10_1140119_5 | aiA10_1140119_6</t>
        </is>
      </c>
      <c r="K36" s="8" t="inlineStr">
        <is>
          <t>996-1007s | 866-881s | 905-919s | 963-978s | 895-905s</t>
        </is>
      </c>
      <c r="L36" s="25" t="inlineStr">
        <is>
          <t>N</t>
        </is>
      </c>
      <c r="M36" s="8" t="inlineStr">
        <is>
          <t>matched</t>
        </is>
      </c>
      <c r="N36" s="8" t="n">
        <v>15</v>
      </c>
      <c r="O36" s="8" t="n">
        <v>0.6873</v>
      </c>
      <c r="P36" s="8" t="inlineStr">
        <is>
          <t>N</t>
        </is>
      </c>
      <c r="Q36" s="8" t="n">
        <v>13.97</v>
      </c>
      <c r="R36" s="26" t="n">
        <v>4</v>
      </c>
      <c r="S36" s="26" t="n">
        <v>5</v>
      </c>
      <c r="T36" s="26" t="n">
        <v>5</v>
      </c>
      <c r="U36" s="26" t="n">
        <v>4</v>
      </c>
      <c r="V36" s="26" t="n">
        <v>5</v>
      </c>
      <c r="W36" s="26" t="n">
        <v>5</v>
      </c>
      <c r="X36" s="26" t="inlineStr">
        <is>
          <t>N</t>
        </is>
      </c>
      <c r="Y36" s="24">
        <f>IF(COUNT(R36:W36)&lt;6,"",IF(X36="Y",MIN(2,R36*0.3+S36*0.2+T36*0.15+U36*0.15+V36*0.1+W36*0.1),R36*0.3+S36*0.2+T36*0.15+U36*0.15+V36*0.1+W36*0.1))</f>
        <v/>
      </c>
      <c r="Z36" s="12" t="inlineStr">
        <is>
          <t>A4：起點 865.88s 與 gold 的 865s 完全吻合，內容描述（冰熱、糖度、資訊湊齊才能完成交易）也正確；終點 1006.66s 比 gold 的 948s 多算約 58 秒，把後續延伸段一併算入。B5：依據區間由連續命中片段合併而成。C5：不只給時間，還說明了那段在講什麼。D4：影片正確、起點精準，扣在區間尾端超出約 58 秒。E5：先給時間再給內容，正是時間定位題該有的樣子。F5：判斷正確。</t>
        </is>
      </c>
      <c r="AA36" s="12" t="n"/>
      <c r="AB36" s="12" t="n"/>
    </row>
    <row r="37" ht="150" customHeight="1">
      <c r="A37" s="6" t="inlineStr">
        <is>
          <t>T04</t>
        </is>
      </c>
      <c r="B37" s="6" t="inlineStr">
        <is>
          <t>時間定位</t>
        </is>
      </c>
      <c r="C37" s="6" t="inlineStr">
        <is>
          <t>中</t>
        </is>
      </c>
      <c r="D37" s="7" t="inlineStr">
        <is>
          <t>老師講亨特拜登跟華盛頓郵報那段在哪裡？</t>
        </is>
      </c>
      <c r="E37" s="7" t="inlineStr">
        <is>
          <t>在 aiA10_1140119_4 約 227-460 秒（約 3:47-7:40）。</t>
        </is>
      </c>
      <c r="F37" s="6" t="inlineStr">
        <is>
          <t>V4</t>
        </is>
      </c>
      <c r="G37" s="7" t="inlineStr">
        <is>
          <t>227-460</t>
        </is>
      </c>
      <c r="H37" s="6" t="inlineStr">
        <is>
          <t>N</t>
        </is>
      </c>
      <c r="I37" s="8" t="inlineStr">
        <is>
          <t>老師講述華盛頓郵報的記者做了一個實驗，要求 ChatGPT 以紐約郵報的報導風格撰寫一篇關於亨特拜登的報導。這段內容位於影片的 227.19 至 272.4 秒。
(依據：aiA10_1140119_4 227.19-272.4s)</t>
        </is>
      </c>
      <c r="J37" s="8" t="inlineStr">
        <is>
          <t>aiA10_1140119_4 | aiA10_1140119_6</t>
        </is>
      </c>
      <c r="K37" s="8" t="inlineStr">
        <is>
          <t>259-272s | 396-409s | 284-297s | 241-259s | 297-311s</t>
        </is>
      </c>
      <c r="L37" s="25" t="inlineStr">
        <is>
          <t>N</t>
        </is>
      </c>
      <c r="M37" s="8" t="inlineStr">
        <is>
          <t>matched</t>
        </is>
      </c>
      <c r="N37" s="8" t="n">
        <v>15</v>
      </c>
      <c r="O37" s="8" t="n">
        <v>0.6859</v>
      </c>
      <c r="P37" s="8" t="inlineStr">
        <is>
          <t>N</t>
        </is>
      </c>
      <c r="Q37" s="8" t="n">
        <v>17.82</v>
      </c>
      <c r="R37" s="26" t="n">
        <v>4</v>
      </c>
      <c r="S37" s="26" t="n">
        <v>5</v>
      </c>
      <c r="T37" s="26" t="n">
        <v>3</v>
      </c>
      <c r="U37" s="26" t="n">
        <v>4</v>
      </c>
      <c r="V37" s="26" t="n">
        <v>5</v>
      </c>
      <c r="W37" s="26" t="n">
        <v>5</v>
      </c>
      <c r="X37" s="26" t="inlineStr">
        <is>
          <t>N</t>
        </is>
      </c>
      <c r="Y37" s="24">
        <f>IF(COUNT(R37:W37)&lt;6,"",IF(X37="Y",MIN(2,R37*0.3+S37*0.2+T37*0.15+U37*0.15+V37*0.1+W37*0.1),R37*0.3+S37*0.2+T37*0.15+U37*0.15+V37*0.1+W37*0.1))</f>
        <v/>
      </c>
      <c r="Z37" s="12" t="inlineStr">
        <is>
          <t>A4：起點 227.19s 與 gold 的 227s 吻合，實驗描述正確。B5：依據在 matches 內。C3：區間只給到 272.4s，僅涵蓋開頭 45 秒，漏掉 CNN 對照那段——而那正是這件事會引發爭議的核心。D4：影片與起點正確，區間過短。E5：敘述清楚。F5：判斷正確。</t>
        </is>
      </c>
      <c r="AA37" s="12" t="n"/>
      <c r="AB37" s="12" t="n"/>
    </row>
    <row r="38" ht="150" customHeight="1">
      <c r="A38" s="6" t="inlineStr">
        <is>
          <t>T05</t>
        </is>
      </c>
      <c r="B38" s="6" t="inlineStr">
        <is>
          <t>時間定位</t>
        </is>
      </c>
      <c r="C38" s="6" t="inlineStr">
        <is>
          <t>中</t>
        </is>
      </c>
      <c r="D38" s="7" t="inlineStr">
        <is>
          <t>Attention is all you need 這篇論文是在哪一段講的？</t>
        </is>
      </c>
      <c r="E38" s="7" t="inlineStr">
        <is>
          <t>在 aiA10_1140119_5 約 1635-1770 秒（約 27:15-29:30）。</t>
        </is>
      </c>
      <c r="F38" s="6" t="inlineStr">
        <is>
          <t>V5</t>
        </is>
      </c>
      <c r="G38" s="7" t="inlineStr">
        <is>
          <t>1635-1770</t>
        </is>
      </c>
      <c r="H38" s="6" t="inlineStr">
        <is>
          <t>N</t>
        </is>
      </c>
      <c r="I38" s="8" t="inlineStr">
        <is>
          <t>「Attention is all you need」（影片片段中拼為 Tension is all you need）這篇論文是在介紹 GPT 的技術來源時所提及的。
（依據：aiA10_1140119_5 1693.4-1707.47s）</t>
        </is>
      </c>
      <c r="J38" s="8" t="inlineStr">
        <is>
          <t>aiA10_1140119_5 | aiA10_1140119_6 | aiA10_1140119_4 | aiA10_1140119_2 | aiA10_1140119_1</t>
        </is>
      </c>
      <c r="K38" s="8" t="inlineStr">
        <is>
          <t>1693-1707s | 1781-1797s | 1635-1654s | 359-375s | 1770-1781s</t>
        </is>
      </c>
      <c r="L38" s="25" t="inlineStr">
        <is>
          <t>N</t>
        </is>
      </c>
      <c r="M38" s="8" t="inlineStr">
        <is>
          <t>matched</t>
        </is>
      </c>
      <c r="N38" s="8" t="n">
        <v>15</v>
      </c>
      <c r="O38" s="8" t="n">
        <v>0.7241</v>
      </c>
      <c r="P38" s="8" t="inlineStr">
        <is>
          <t>N</t>
        </is>
      </c>
      <c r="Q38" s="8" t="n">
        <v>12.77</v>
      </c>
      <c r="R38" s="26" t="n">
        <v>3</v>
      </c>
      <c r="S38" s="26" t="n">
        <v>5</v>
      </c>
      <c r="T38" s="26" t="n">
        <v>3</v>
      </c>
      <c r="U38" s="26" t="n">
        <v>5</v>
      </c>
      <c r="V38" s="26" t="n">
        <v>4</v>
      </c>
      <c r="W38" s="26" t="n">
        <v>4</v>
      </c>
      <c r="X38" s="26" t="inlineStr">
        <is>
          <t>N</t>
        </is>
      </c>
      <c r="Y38" s="24">
        <f>IF(COUNT(R38:W38)&lt;6,"",IF(X38="Y",MIN(2,R38*0.3+S38*0.2+T38*0.15+U38*0.15+V38*0.1+W38*0.1),R38*0.3+S38*0.2+T38*0.15+U38*0.15+V38*0.1+W38*0.1))</f>
        <v/>
      </c>
      <c r="Z38" s="12" t="inlineStr">
        <is>
          <t>A3：**答非所問**。這是時間定位題，問的是「在哪一段」，答案卻只說「在介紹 GPT 的技術來源時所提及」，正確的時間 1693-1707s 被丟在依據欄而沒有當成答案講出來。B5：依據正確。C3：時間資訊未被當作答案呈現。D5：1693-1707s 落在 gold 的 1635-1770s 內，引用本身正確。E4：句子通順，但沒回應問題型態。F4：該答有答，但沒答在點上。</t>
        </is>
      </c>
      <c r="AA38" s="12" t="n"/>
      <c r="AB38" s="12" t="n"/>
    </row>
    <row r="39" ht="150" customHeight="1">
      <c r="A39" s="6" t="inlineStr">
        <is>
          <t>T06</t>
        </is>
      </c>
      <c r="B39" s="6" t="inlineStr">
        <is>
          <t>時間定位</t>
        </is>
      </c>
      <c r="C39" s="6" t="inlineStr">
        <is>
          <t>中</t>
        </is>
      </c>
      <c r="D39" s="7" t="inlineStr">
        <is>
          <t>老師講耶魯大學 Spider 專案在哪裡？</t>
        </is>
      </c>
      <c r="E39" s="7" t="inlineStr">
        <is>
          <t>在 aiA10_1140119_6 約 188-435 秒（約 3:08-7:15），包含問題轉 SQL 的四個難度等級與準確率被 ChatGPT 輾壓的部分。</t>
        </is>
      </c>
      <c r="F39" s="6" t="inlineStr">
        <is>
          <t>V6</t>
        </is>
      </c>
      <c r="G39" s="7" t="inlineStr">
        <is>
          <t>188-435</t>
        </is>
      </c>
      <c r="H39" s="6" t="inlineStr">
        <is>
          <t>N</t>
        </is>
      </c>
      <c r="I39" s="8" t="inlineStr">
        <is>
          <t>目前資料庫片段不足以回答這個問題。</t>
        </is>
      </c>
      <c r="J39" s="8" t="inlineStr">
        <is>
          <t>aiA10_1140119_6 | aiA10_1140119_5 | aiA10_1140119_2 | aiA10_1140119_4</t>
        </is>
      </c>
      <c r="K39" s="8" t="inlineStr">
        <is>
          <t>198-210s | 1788-1808s | 335-345s | 1598-1611s | 1824-1837s</t>
        </is>
      </c>
      <c r="L39" s="25" t="inlineStr">
        <is>
          <t>Y</t>
        </is>
      </c>
      <c r="M39" s="8" t="inlineStr">
        <is>
          <t>matched</t>
        </is>
      </c>
      <c r="N39" s="8" t="n">
        <v>15</v>
      </c>
      <c r="O39" s="8" t="n">
        <v>0.7341</v>
      </c>
      <c r="P39" s="8" t="inlineStr">
        <is>
          <t>N</t>
        </is>
      </c>
      <c r="Q39" s="8" t="n">
        <v>14.02</v>
      </c>
      <c r="R39" s="26" t="n">
        <v>1</v>
      </c>
      <c r="S39" s="26" t="n">
        <v>5</v>
      </c>
      <c r="T39" s="26" t="n">
        <v>1</v>
      </c>
      <c r="U39" s="26" t="n">
        <v>1</v>
      </c>
      <c r="V39" s="26" t="n">
        <v>2</v>
      </c>
      <c r="W39" s="26" t="n">
        <v>1</v>
      </c>
      <c r="X39" s="26" t="inlineStr">
        <is>
          <t>N</t>
        </is>
      </c>
      <c r="Y39" s="24">
        <f>IF(COUNT(R39:W39)&lt;6,"",IF(X39="Y",MIN(2,R39*0.3+S39*0.2+T39*0.15+U39*0.15+V39*0.1+W39*0.1),R39*0.3+S39*0.2+T39*0.15+U39*0.15+V39*0.1+W39*0.1))</f>
        <v/>
      </c>
      <c r="Z39" s="12" t="inlineStr">
        <is>
          <t>**假拒答**。A1：沒有提供內容。B5：沒有編造。C1：零覆蓋。D1：沒有引用。E2：同上。F1：matches 第一名就是 V6 198-210s，正是老師介紹耶魯大學 Spider 專案的那段，top score 0.7341 為全場第二高，檢索完全正確，仍然拒答。</t>
        </is>
      </c>
      <c r="AA39" s="12" t="n"/>
      <c r="AB39" s="12" t="n"/>
    </row>
    <row r="40" ht="150" customHeight="1">
      <c r="A40" s="6" t="inlineStr">
        <is>
          <t>N01</t>
        </is>
      </c>
      <c r="B40" s="6" t="inlineStr">
        <is>
          <t>課程外負向</t>
        </is>
      </c>
      <c r="C40" s="6" t="inlineStr">
        <is>
          <t>易</t>
        </is>
      </c>
      <c r="D40" s="7" t="inlineStr">
        <is>
          <t>這門課的期末考範圍是什麼？</t>
        </is>
      </c>
      <c r="E40" s="7" t="inlineStr">
        <is>
          <t>課程逐字稿中完全沒有提到期末考或考試範圍。系統應明確拒答，不可推測。</t>
        </is>
      </c>
      <c r="F40" s="6" t="inlineStr">
        <is>
          <t>（無）</t>
        </is>
      </c>
      <c r="G40" s="7" t="inlineStr">
        <is>
          <t>（無）</t>
        </is>
      </c>
      <c r="H40" s="6" t="inlineStr">
        <is>
          <t>Y</t>
        </is>
      </c>
      <c r="I40" s="8" t="inlineStr">
        <is>
          <t>目前資料庫片段不足以回答這個問題。</t>
        </is>
      </c>
      <c r="J40" s="8" t="inlineStr">
        <is>
          <t>aiA10_1140119_1 | aiA10_1140119_6 | aiA10_1140119_4 | aiA10_1140119_2 | aiA10_1140119_3 | aiA10_1140119_5</t>
        </is>
      </c>
      <c r="K40" s="8" t="inlineStr">
        <is>
          <t>271-285s | 56-80s | 1909-1922s | 2135-2155s | 1881-1897s</t>
        </is>
      </c>
      <c r="L40" s="25" t="inlineStr">
        <is>
          <t>Y</t>
        </is>
      </c>
      <c r="M40" s="8" t="inlineStr">
        <is>
          <t>matched</t>
        </is>
      </c>
      <c r="N40" s="8" t="n">
        <v>15</v>
      </c>
      <c r="O40" s="8" t="n">
        <v>0.5734</v>
      </c>
      <c r="P40" s="8" t="inlineStr">
        <is>
          <t>N</t>
        </is>
      </c>
      <c r="Q40" s="8" t="n">
        <v>14.13</v>
      </c>
      <c r="R40" s="26" t="n">
        <v>5</v>
      </c>
      <c r="S40" s="26" t="n">
        <v>5</v>
      </c>
      <c r="T40" s="26" t="n">
        <v>5</v>
      </c>
      <c r="U40" s="26" t="n">
        <v>5</v>
      </c>
      <c r="V40" s="26" t="n">
        <v>5</v>
      </c>
      <c r="W40" s="26" t="n">
        <v>5</v>
      </c>
      <c r="X40" s="26" t="inlineStr">
        <is>
          <t>N</t>
        </is>
      </c>
      <c r="Y40" s="24">
        <f>IF(COUNT(R40:W40)&lt;6,"",IF(X40="Y",MIN(2,R40*0.3+S40*0.2+T40*0.15+U40*0.15+V40*0.1+W40*0.1),R40*0.3+S40*0.2+T40*0.15+U40*0.15+V40*0.1+W40*0.1))</f>
        <v/>
      </c>
      <c r="Z40" s="12" t="inlineStr">
        <is>
          <t>A5／C5：正確行為就是拒答，gold 已達成。B5：沒有推測任何考試範圍。D5：拒答不需引用。E5：使用標準罐頭句。F5：課程完全沒提期末考，判斷完全正確。</t>
        </is>
      </c>
      <c r="AA40" s="12" t="n"/>
      <c r="AB40" s="12" t="n"/>
    </row>
    <row r="41" ht="150" customHeight="1">
      <c r="A41" s="6" t="inlineStr">
        <is>
          <t>N03</t>
        </is>
      </c>
      <c r="B41" s="6" t="inlineStr">
        <is>
          <t>課程外負向</t>
        </is>
      </c>
      <c r="C41" s="6" t="inlineStr">
        <is>
          <t>易</t>
        </is>
      </c>
      <c r="D41" s="7" t="inlineStr">
        <is>
          <t>老師的電子郵件信箱是什麼？</t>
        </is>
      </c>
      <c r="E41" s="7" t="inlineStr">
        <is>
          <t>逐字稿中沒有出現任何聯絡方式。系統應拒答，尤其不可編造 email。</t>
        </is>
      </c>
      <c r="F41" s="6" t="inlineStr">
        <is>
          <t>（無）</t>
        </is>
      </c>
      <c r="G41" s="7" t="inlineStr">
        <is>
          <t>（無）</t>
        </is>
      </c>
      <c r="H41" s="6" t="inlineStr">
        <is>
          <t>Y</t>
        </is>
      </c>
      <c r="I41" s="8" t="inlineStr">
        <is>
          <t>目前資料庫片段不足以回答這個問題。</t>
        </is>
      </c>
      <c r="J41" s="8" t="inlineStr">
        <is>
          <t>aiA10_1140119_6 | aiA10_1140119_4 | aiA10_1140119_2 | aiA10_1140119_1</t>
        </is>
      </c>
      <c r="K41" s="8" t="inlineStr">
        <is>
          <t>1935-1950s | 1897-1909s | 1171-1182s | 2135-2155s | 1222-1234s</t>
        </is>
      </c>
      <c r="L41" s="25" t="inlineStr">
        <is>
          <t>Y</t>
        </is>
      </c>
      <c r="M41" s="8" t="inlineStr">
        <is>
          <t>matched</t>
        </is>
      </c>
      <c r="N41" s="8" t="n">
        <v>15</v>
      </c>
      <c r="O41" s="8" t="n">
        <v>0.5825</v>
      </c>
      <c r="P41" s="8" t="inlineStr">
        <is>
          <t>N</t>
        </is>
      </c>
      <c r="Q41" s="8" t="n">
        <v>13.43</v>
      </c>
      <c r="R41" s="26" t="n">
        <v>5</v>
      </c>
      <c r="S41" s="26" t="n">
        <v>5</v>
      </c>
      <c r="T41" s="26" t="n">
        <v>5</v>
      </c>
      <c r="U41" s="26" t="n">
        <v>5</v>
      </c>
      <c r="V41" s="26" t="n">
        <v>5</v>
      </c>
      <c r="W41" s="26" t="n">
        <v>5</v>
      </c>
      <c r="X41" s="26" t="inlineStr">
        <is>
          <t>N</t>
        </is>
      </c>
      <c r="Y41" s="24">
        <f>IF(COUNT(R41:W41)&lt;6,"",IF(X41="Y",MIN(2,R41*0.3+S41*0.2+T41*0.15+U41*0.15+V41*0.1+W41*0.1),R41*0.3+S41*0.2+T41*0.15+U41*0.15+V41*0.1+W41*0.1))</f>
        <v/>
      </c>
      <c r="Z41" s="12" t="inlineStr">
        <is>
          <t>A5／C5：正確拒答。B5：**沒有編造任何 email**，這是本題最重要的檢查點。D5：不需引用。E5：罐頭句。F5：判斷完全正確。</t>
        </is>
      </c>
      <c r="AA41" s="12" t="n"/>
      <c r="AB41" s="12" t="n"/>
    </row>
    <row r="42" ht="150" customHeight="1">
      <c r="A42" s="6" t="inlineStr">
        <is>
          <t>N04</t>
        </is>
      </c>
      <c r="B42" s="6" t="inlineStr">
        <is>
          <t>課程外負向</t>
        </is>
      </c>
      <c r="C42" s="6" t="inlineStr">
        <is>
          <t>中</t>
        </is>
      </c>
      <c r="D42" s="7" t="inlineStr">
        <is>
          <t>請問怎麼用 PyTorch 實作一個 Transformer 的 attention 層？</t>
        </is>
      </c>
      <c r="E42" s="7" t="inlineStr">
        <is>
          <t>老師明確說過這部分不會講數學怎麼算，只帶觀念，課程也沒有 attention 層的實作。系統應拒答，不可用外部知識回答。</t>
        </is>
      </c>
      <c r="F42" s="6" t="inlineStr">
        <is>
          <t>（無）</t>
        </is>
      </c>
      <c r="G42" s="7" t="inlineStr">
        <is>
          <t>（無）</t>
        </is>
      </c>
      <c r="H42" s="6" t="inlineStr">
        <is>
          <t>Y</t>
        </is>
      </c>
      <c r="I42" s="8" t="inlineStr">
        <is>
          <t>目前資料庫片段不足以回答這個問題。</t>
        </is>
      </c>
      <c r="J42" s="8" t="inlineStr">
        <is>
          <t>aiA10_1140119_5 | aiA10_1140119_4 | aiA10_1140119_2 | aiA10_1140119_6 | aiA10_1140119_1</t>
        </is>
      </c>
      <c r="K42" s="8" t="inlineStr">
        <is>
          <t>1693-1707s | 1770-1781s | 1605-1644s | 1426-1433s | 1781-1797s</t>
        </is>
      </c>
      <c r="L42" s="25" t="inlineStr">
        <is>
          <t>Y</t>
        </is>
      </c>
      <c r="M42" s="8" t="inlineStr">
        <is>
          <t>matched</t>
        </is>
      </c>
      <c r="N42" s="8" t="n">
        <v>15</v>
      </c>
      <c r="O42" s="8" t="n">
        <v>0.5854</v>
      </c>
      <c r="P42" s="8" t="inlineStr">
        <is>
          <t>N</t>
        </is>
      </c>
      <c r="Q42" s="8" t="n">
        <v>13.43</v>
      </c>
      <c r="R42" s="26" t="n">
        <v>5</v>
      </c>
      <c r="S42" s="26" t="n">
        <v>5</v>
      </c>
      <c r="T42" s="26" t="n">
        <v>5</v>
      </c>
      <c r="U42" s="26" t="n">
        <v>5</v>
      </c>
      <c r="V42" s="26" t="n">
        <v>5</v>
      </c>
      <c r="W42" s="26" t="n">
        <v>5</v>
      </c>
      <c r="X42" s="26" t="inlineStr">
        <is>
          <t>N</t>
        </is>
      </c>
      <c r="Y42" s="24">
        <f>IF(COUNT(R42:W42)&lt;6,"",IF(X42="Y",MIN(2,R42*0.3+S42*0.2+T42*0.15+U42*0.15+V42*0.1+W42*0.1),R42*0.3+S42*0.2+T42*0.15+U42*0.15+V42*0.1+W42*0.1))</f>
        <v/>
      </c>
      <c r="Z42" s="12" t="inlineStr">
        <is>
          <t>A5／C5：正確拒答。B5：沒有動用模型自身的 PyTorch 知識回答——這題最容易誘發外部知識，守住了。D5：不需引用。E5：罐頭句。F5：課程明講不碰實作細節，判斷正確。</t>
        </is>
      </c>
      <c r="AA42" s="12" t="n"/>
      <c r="AB42" s="12" t="n"/>
    </row>
    <row r="43" ht="150" customHeight="1">
      <c r="A43" s="6" t="inlineStr">
        <is>
          <t>N05</t>
        </is>
      </c>
      <c r="B43" s="6" t="inlineStr">
        <is>
          <t>課程外負向</t>
        </is>
      </c>
      <c r="C43" s="6" t="inlineStr">
        <is>
          <t>易</t>
        </is>
      </c>
      <c r="D43" s="7" t="inlineStr">
        <is>
          <t>台灣 2024 年的 GDP 成長率是多少？</t>
        </is>
      </c>
      <c r="E43" s="7" t="inlineStr">
        <is>
          <t>與課程完全無關。系統應拒答。</t>
        </is>
      </c>
      <c r="F43" s="6" t="inlineStr">
        <is>
          <t>（無）</t>
        </is>
      </c>
      <c r="G43" s="7" t="inlineStr">
        <is>
          <t>（無）</t>
        </is>
      </c>
      <c r="H43" s="6" t="inlineStr">
        <is>
          <t>Y</t>
        </is>
      </c>
      <c r="I43" s="8" t="inlineStr">
        <is>
          <t>目前資料庫片段不足以回答這個問題。</t>
        </is>
      </c>
      <c r="J43" s="8" t="inlineStr">
        <is>
          <t>aiA10_1140119_1 | aiA10_1140119_2</t>
        </is>
      </c>
      <c r="K43" s="8" t="inlineStr">
        <is>
          <t>1025-1042s | 602-617s | 1042-1057s | 1693-1713s | 993-1011s</t>
        </is>
      </c>
      <c r="L43" s="25" t="inlineStr">
        <is>
          <t>Y</t>
        </is>
      </c>
      <c r="M43" s="8" t="inlineStr">
        <is>
          <t>matched</t>
        </is>
      </c>
      <c r="N43" s="8" t="n">
        <v>15</v>
      </c>
      <c r="O43" s="8" t="n">
        <v>0.5356</v>
      </c>
      <c r="P43" s="8" t="inlineStr">
        <is>
          <t>N</t>
        </is>
      </c>
      <c r="Q43" s="8" t="n">
        <v>15.7</v>
      </c>
      <c r="R43" s="26" t="n">
        <v>5</v>
      </c>
      <c r="S43" s="26" t="n">
        <v>5</v>
      </c>
      <c r="T43" s="26" t="n">
        <v>5</v>
      </c>
      <c r="U43" s="26" t="n">
        <v>5</v>
      </c>
      <c r="V43" s="26" t="n">
        <v>5</v>
      </c>
      <c r="W43" s="26" t="n">
        <v>5</v>
      </c>
      <c r="X43" s="26" t="inlineStr">
        <is>
          <t>N</t>
        </is>
      </c>
      <c r="Y43" s="24">
        <f>IF(COUNT(R43:W43)&lt;6,"",IF(X43="Y",MIN(2,R43*0.3+S43*0.2+T43*0.15+U43*0.15+V43*0.1+W43*0.1),R43*0.3+S43*0.2+T43*0.15+U43*0.15+V43*0.1+W43*0.1))</f>
        <v/>
      </c>
      <c r="Z43" s="12" t="inlineStr">
        <is>
          <t>A5／C5：正確拒答。B5：沒有給出任何 GDP 數字。D5：不需引用。E5：罐頭句。F5：與課程完全無關，判斷正確。注意 matchStatus 仍是 matched、matchCount 15、topScore 0.5356——檢索照樣回了 15 個片段，是生成端擋下來的。</t>
        </is>
      </c>
      <c r="AA43" s="12" t="n"/>
      <c r="AB43" s="12" t="n"/>
    </row>
    <row r="44" ht="150" customHeight="1">
      <c r="A44" s="6" t="inlineStr">
        <is>
          <t>N06</t>
        </is>
      </c>
      <c r="B44" s="6" t="inlineStr">
        <is>
          <t>課程外負向</t>
        </is>
      </c>
      <c r="C44" s="6" t="inlineStr">
        <is>
          <t>中</t>
        </is>
      </c>
      <c r="D44" s="7" t="inlineStr">
        <is>
          <t>Llama 4 有哪些新功能？</t>
        </is>
      </c>
      <c r="E44" s="7" t="inlineStr">
        <is>
          <t>課程只講到 Llama 3 的 8B 版本，沒有提過 Llama 4。系統應拒答，不可以用模型自身知識補充。</t>
        </is>
      </c>
      <c r="F44" s="6" t="inlineStr">
        <is>
          <t>（無）</t>
        </is>
      </c>
      <c r="G44" s="7" t="inlineStr">
        <is>
          <t>（無）</t>
        </is>
      </c>
      <c r="H44" s="6" t="inlineStr">
        <is>
          <t>Y</t>
        </is>
      </c>
      <c r="I44" s="8" t="inlineStr">
        <is>
          <t>目前資料庫片段不足以回答這個問題。</t>
        </is>
      </c>
      <c r="J44" s="8" t="inlineStr">
        <is>
          <t>aiA10_1140119_3 | aiA10_1140119_4 | aiA10_1140119_2 | aiA10_1140119_1 | aiA10_1140119_6 | aiA10_1140119_5</t>
        </is>
      </c>
      <c r="K44" s="8" t="inlineStr">
        <is>
          <t>155-180s | 180-201s | 865-879s | 1039-1051s | 263-277s</t>
        </is>
      </c>
      <c r="L44" s="25" t="inlineStr">
        <is>
          <t>Y</t>
        </is>
      </c>
      <c r="M44" s="8" t="inlineStr">
        <is>
          <t>matched</t>
        </is>
      </c>
      <c r="N44" s="8" t="n">
        <v>15</v>
      </c>
      <c r="O44" s="8" t="n">
        <v>0.5616</v>
      </c>
      <c r="P44" s="8" t="inlineStr">
        <is>
          <t>N</t>
        </is>
      </c>
      <c r="Q44" s="8" t="n">
        <v>17.11</v>
      </c>
      <c r="R44" s="26" t="n">
        <v>5</v>
      </c>
      <c r="S44" s="26" t="n">
        <v>5</v>
      </c>
      <c r="T44" s="26" t="n">
        <v>5</v>
      </c>
      <c r="U44" s="26" t="n">
        <v>5</v>
      </c>
      <c r="V44" s="26" t="n">
        <v>5</v>
      </c>
      <c r="W44" s="26" t="n">
        <v>5</v>
      </c>
      <c r="X44" s="26" t="inlineStr">
        <is>
          <t>N</t>
        </is>
      </c>
      <c r="Y44" s="24">
        <f>IF(COUNT(R44:W44)&lt;6,"",IF(X44="Y",MIN(2,R44*0.3+S44*0.2+T44*0.15+U44*0.15+V44*0.1+W44*0.1),R44*0.3+S44*0.2+T44*0.15+U44*0.15+V44*0.1+W44*0.1))</f>
        <v/>
      </c>
      <c r="Z44" s="12" t="inlineStr">
        <is>
          <t>A5／C5：正確拒答。B5：沒有用模型自身知識補充 Llama 4 的資訊，課程只講到 Llama 3。D5：不需引用。E5：罐頭句。F5：判斷正確。</t>
        </is>
      </c>
      <c r="AA44" s="12" t="n"/>
      <c r="AB44" s="12" t="n"/>
    </row>
    <row r="45" ht="150" customHeight="1">
      <c r="A45" s="6" t="inlineStr">
        <is>
          <t>N07</t>
        </is>
      </c>
      <c r="B45" s="6" t="inlineStr">
        <is>
          <t>課程外負向</t>
        </is>
      </c>
      <c r="C45" s="6" t="inlineStr">
        <is>
          <t>易</t>
        </is>
      </c>
      <c r="D45" s="7" t="inlineStr">
        <is>
          <t>老師推薦哪一本自然語言處理的教科書？</t>
        </is>
      </c>
      <c r="E45" s="7" t="inlineStr">
        <is>
          <t>逐字稿中老師只提過「有專門討論如何拐 ChatGPT 的書」，沒有推薦任何 NLP 教科書。系統應拒答，不可把那本書誤答成教科書。</t>
        </is>
      </c>
      <c r="F45" s="6" t="inlineStr">
        <is>
          <t>（無）</t>
        </is>
      </c>
      <c r="G45" s="7" t="inlineStr">
        <is>
          <t>（無）</t>
        </is>
      </c>
      <c r="H45" s="6" t="inlineStr">
        <is>
          <t>Y</t>
        </is>
      </c>
      <c r="I45" s="8" t="inlineStr">
        <is>
          <t>目前資料庫片段不足以回答這個問題。</t>
        </is>
      </c>
      <c r="J45" s="8" t="inlineStr">
        <is>
          <t>aiA10_1140119_4 | aiA10_1140119_5 | aiA10_1140119_1 | aiA10_1140119_6</t>
        </is>
      </c>
      <c r="K45" s="8" t="inlineStr">
        <is>
          <t>1738-1755s | 1459-1474s | 1348-1378s | 1446-1459s | 1402-1414s</t>
        </is>
      </c>
      <c r="L45" s="25" t="inlineStr">
        <is>
          <t>Y</t>
        </is>
      </c>
      <c r="M45" s="8" t="inlineStr">
        <is>
          <t>matched</t>
        </is>
      </c>
      <c r="N45" s="8" t="n">
        <v>15</v>
      </c>
      <c r="O45" s="8" t="n">
        <v>0.6708</v>
      </c>
      <c r="P45" s="8" t="inlineStr">
        <is>
          <t>N</t>
        </is>
      </c>
      <c r="Q45" s="8" t="n">
        <v>12.77</v>
      </c>
      <c r="R45" s="26" t="n">
        <v>5</v>
      </c>
      <c r="S45" s="26" t="n">
        <v>5</v>
      </c>
      <c r="T45" s="26" t="n">
        <v>5</v>
      </c>
      <c r="U45" s="26" t="n">
        <v>5</v>
      </c>
      <c r="V45" s="26" t="n">
        <v>5</v>
      </c>
      <c r="W45" s="26" t="n">
        <v>5</v>
      </c>
      <c r="X45" s="26" t="inlineStr">
        <is>
          <t>N</t>
        </is>
      </c>
      <c r="Y45" s="24">
        <f>IF(COUNT(R45:W45)&lt;6,"",IF(X45="Y",MIN(2,R45*0.3+S45*0.2+T45*0.15+U45*0.15+V45*0.1+W45*0.1),R45*0.3+S45*0.2+T45*0.15+U45*0.15+V45*0.1+W45*0.1))</f>
        <v/>
      </c>
      <c r="Z45" s="12" t="inlineStr">
        <is>
          <t>A5／C5：正確拒答。B5：沒有把老師提過的「探討如何拐 ChatGPT 的書」誤答成 NLP 教科書——這是本題設計的陷阱，避開了。D5：不需引用。E5：罐頭句。F5：判斷正確。</t>
        </is>
      </c>
      <c r="AA45" s="12" t="n"/>
      <c r="AB45" s="12" t="n"/>
    </row>
    <row r="46" ht="150" customHeight="1">
      <c r="A46" s="6" t="inlineStr">
        <is>
          <t>N10</t>
        </is>
      </c>
      <c r="B46" s="6" t="inlineStr">
        <is>
          <t>課程外負向</t>
        </is>
      </c>
      <c r="C46" s="6" t="inlineStr">
        <is>
          <t>中</t>
        </is>
      </c>
      <c r="D46" s="7" t="inlineStr">
        <is>
          <t>GPT-5 跟 GPT-4o 的差別在哪？</t>
        </is>
      </c>
      <c r="E46" s="7" t="inlineStr">
        <is>
          <t>課程只提到 GPT-4o 與 GPT-4o mini，沒有 GPT-5。系統應拒答，不可用外部知識回答。</t>
        </is>
      </c>
      <c r="F46" s="6" t="inlineStr">
        <is>
          <t>（無）</t>
        </is>
      </c>
      <c r="G46" s="7" t="inlineStr">
        <is>
          <t>（無）</t>
        </is>
      </c>
      <c r="H46" s="6" t="inlineStr">
        <is>
          <t>Y</t>
        </is>
      </c>
      <c r="I46" s="8" t="inlineStr">
        <is>
          <t>目前資料庫片段不足以回答這個問題。</t>
        </is>
      </c>
      <c r="J46" s="8" t="inlineStr">
        <is>
          <t>aiA10_1140119_4 | aiA10_1140119_1 | aiA10_1140119_2</t>
        </is>
      </c>
      <c r="K46" s="8" t="inlineStr">
        <is>
          <t>865-879s | 195-216s | 848-865s | 849-865s | 838-849s</t>
        </is>
      </c>
      <c r="L46" s="25" t="inlineStr">
        <is>
          <t>Y</t>
        </is>
      </c>
      <c r="M46" s="8" t="inlineStr">
        <is>
          <t>matched</t>
        </is>
      </c>
      <c r="N46" s="8" t="n">
        <v>15</v>
      </c>
      <c r="O46" s="8" t="n">
        <v>0.6321</v>
      </c>
      <c r="P46" s="8" t="inlineStr">
        <is>
          <t>N</t>
        </is>
      </c>
      <c r="Q46" s="8" t="n">
        <v>18.06</v>
      </c>
      <c r="R46" s="26" t="n">
        <v>5</v>
      </c>
      <c r="S46" s="26" t="n">
        <v>5</v>
      </c>
      <c r="T46" s="26" t="n">
        <v>5</v>
      </c>
      <c r="U46" s="26" t="n">
        <v>5</v>
      </c>
      <c r="V46" s="26" t="n">
        <v>5</v>
      </c>
      <c r="W46" s="26" t="n">
        <v>5</v>
      </c>
      <c r="X46" s="26" t="inlineStr">
        <is>
          <t>N</t>
        </is>
      </c>
      <c r="Y46" s="24">
        <f>IF(COUNT(R46:W46)&lt;6,"",IF(X46="Y",MIN(2,R46*0.3+S46*0.2+T46*0.15+U46*0.15+V46*0.1+W46*0.1),R46*0.3+S46*0.2+T46*0.15+U46*0.15+V46*0.1+W46*0.1))</f>
        <v/>
      </c>
      <c r="Z46" s="12" t="inlineStr">
        <is>
          <t>A5／C5：正確拒答。B5：沒有用外部知識描述 GPT-5，課程只提到 GPT-4o 與 4o mini。D5：不需引用。E5：罐頭句。F5：判斷正確。</t>
        </is>
      </c>
      <c r="AA46" s="12" t="n"/>
      <c r="AB46" s="12" t="n"/>
    </row>
    <row r="47" ht="150" customHeight="1">
      <c r="A47" s="6" t="inlineStr">
        <is>
          <t>C01</t>
        </is>
      </c>
      <c r="B47" s="6" t="inlineStr">
        <is>
          <t>口語錯字</t>
        </is>
      </c>
      <c r="C47" s="6" t="inlineStr">
        <is>
          <t>中</t>
        </is>
      </c>
      <c r="D47" s="7" t="inlineStr">
        <is>
          <t>老師說的那個羊駝是什麼啊？</t>
        </is>
      </c>
      <c r="E47" s="7" t="inlineStr">
        <is>
          <t>羊駝是 llama，指 Meta 開源的地端大語言模型 Llama；Llama 3 8B 需約 16GB 記憶體，單機 4090 可跑。系統應能把口語的「羊駝」對齊到 Llama。</t>
        </is>
      </c>
      <c r="F47" s="6" t="inlineStr">
        <is>
          <t>V3</t>
        </is>
      </c>
      <c r="G47" s="7" t="inlineStr">
        <is>
          <t>155-234</t>
        </is>
      </c>
      <c r="H47" s="6" t="inlineStr">
        <is>
          <t>N</t>
        </is>
      </c>
      <c r="I47" s="8" t="inlineStr">
        <is>
          <t>老師所說的羊駝指的是「拉馬」，它是 Meta 公司訓練並且開源的。
（依據：aiA10_1140119_3 154.8-179.88s）</t>
        </is>
      </c>
      <c r="J47" s="8" t="inlineStr">
        <is>
          <t>aiA10_1140119_3 | aiA10_1140119_4 | aiA10_1140119_1 | aiA10_1140119_6 | aiA10_1140119_2 | aiA10_1140119_5</t>
        </is>
      </c>
      <c r="K47" s="8" t="inlineStr">
        <is>
          <t>155-180s | 1755-1774s | 1539-1549s | 1788-1808s | 2050-2064s</t>
        </is>
      </c>
      <c r="L47" s="25" t="inlineStr">
        <is>
          <t>N</t>
        </is>
      </c>
      <c r="M47" s="8" t="inlineStr">
        <is>
          <t>matched</t>
        </is>
      </c>
      <c r="N47" s="8" t="n">
        <v>15</v>
      </c>
      <c r="O47" s="8" t="n">
        <v>0.6508</v>
      </c>
      <c r="P47" s="8" t="inlineStr">
        <is>
          <t>N</t>
        </is>
      </c>
      <c r="Q47" s="8" t="n">
        <v>20.21</v>
      </c>
      <c r="R47" s="26" t="n">
        <v>5</v>
      </c>
      <c r="S47" s="26" t="n">
        <v>5</v>
      </c>
      <c r="T47" s="26" t="n">
        <v>4</v>
      </c>
      <c r="U47" s="26" t="n">
        <v>5</v>
      </c>
      <c r="V47" s="26" t="n">
        <v>4</v>
      </c>
      <c r="W47" s="26" t="n">
        <v>5</v>
      </c>
      <c r="X47" s="26" t="inlineStr">
        <is>
          <t>N</t>
        </is>
      </c>
      <c r="Y47" s="24">
        <f>IF(COUNT(R47:W47)&lt;6,"",IF(X47="Y",MIN(2,R47*0.3+S47*0.2+T47*0.15+U47*0.15+V47*0.1+W47*0.1),R47*0.3+S47*0.2+T47*0.15+U47*0.15+V47*0.1+W47*0.1))</f>
        <v/>
      </c>
      <c r="Z47" s="12" t="inlineStr">
        <is>
          <t>A5：正確把口語的「羊駝」對齊到 Llama 並答出 Meta 開源，prompt 規則 4 在這題有生效。B5：出自 155-180s。C4：漏掉 8B / 16GB / 單機 4090 可跑等 gold 次要要點。D5：引用精準。E4：一句話清楚，扣在仍寫「拉馬」沒回寫成 Llama。F5：判斷正確。</t>
        </is>
      </c>
      <c r="AA47" s="12" t="n"/>
      <c r="AB47" s="12" t="n"/>
    </row>
    <row r="48" ht="150" customHeight="1">
      <c r="A48" s="6" t="inlineStr">
        <is>
          <t>C02</t>
        </is>
      </c>
      <c r="B48" s="6" t="inlineStr">
        <is>
          <t>口語錯字</t>
        </is>
      </c>
      <c r="C48" s="6" t="inlineStr">
        <is>
          <t>難</t>
        </is>
      </c>
      <c r="D48" s="7" t="inlineStr">
        <is>
          <t>「確的GPT」是什麼？</t>
        </is>
      </c>
      <c r="E48" s="7" t="inlineStr">
        <is>
          <t>逐字稿中 ChatGPT 被 STT 誤寫成「確的gbt」「雀的gpt」「確DGP」等多種形式。系統應辨識這是 ChatGPT，回答它是 OpenAI 的大語言模型、可對話、寫程式、整理資料等。這題測 prompt 規則第 4 條（專有名詞對齊）。</t>
        </is>
      </c>
      <c r="F48" s="6" t="inlineStr">
        <is>
          <t>V1+V2</t>
        </is>
      </c>
      <c r="G48" s="7" t="inlineStr">
        <is>
          <t>V1 516-624 / V2 182-291</t>
        </is>
      </c>
      <c r="H48" s="6" t="inlineStr">
        <is>
          <t>N</t>
        </is>
      </c>
      <c r="I48" s="8" t="inlineStr">
        <is>
          <t>「確的GPT」（在影片中稱為「雀的gpd」、「雀的gp」或「雀的gbt」）是一種大語言模型。它之所以被稱為「大」，是因為其模型本身的參數量非常多，且投入訓練的資料也極為龐大。
(依據：aiA10_1140119_1 572.55-581.25s、594.45-609.85s；aiA10_1140119_2 255.9-266.84s)</t>
        </is>
      </c>
      <c r="J48" s="8" t="inlineStr">
        <is>
          <t>aiA10_1140119_1 | aiA10_1140119_4 | aiA10_1140119_2 | aiA10_1140119_5</t>
        </is>
      </c>
      <c r="K48" s="8" t="inlineStr">
        <is>
          <t>573-581s | 342-354s | 1415-1431s | 546-559s | 594-610s</t>
        </is>
      </c>
      <c r="L48" s="25" t="inlineStr">
        <is>
          <t>N</t>
        </is>
      </c>
      <c r="M48" s="8" t="inlineStr">
        <is>
          <t>matched</t>
        </is>
      </c>
      <c r="N48" s="8" t="n">
        <v>15</v>
      </c>
      <c r="O48" s="8" t="n">
        <v>0.6201</v>
      </c>
      <c r="P48" s="8" t="inlineStr">
        <is>
          <t>N</t>
        </is>
      </c>
      <c r="Q48" s="8" t="n">
        <v>13.93</v>
      </c>
      <c r="R48" s="26" t="n">
        <v>5</v>
      </c>
      <c r="S48" s="26" t="n">
        <v>5</v>
      </c>
      <c r="T48" s="26" t="n">
        <v>3</v>
      </c>
      <c r="U48" s="26" t="n">
        <v>5</v>
      </c>
      <c r="V48" s="26" t="n">
        <v>3</v>
      </c>
      <c r="W48" s="26" t="n">
        <v>5</v>
      </c>
      <c r="X48" s="26" t="inlineStr">
        <is>
          <t>N</t>
        </is>
      </c>
      <c r="Y48" s="24">
        <f>IF(COUNT(R48:W48)&lt;6,"",IF(X48="Y",MIN(2,R48*0.3+S48*0.2+T48*0.15+U48*0.15+V48*0.1+W48*0.1),R48*0.3+S48*0.2+T48*0.15+U48*0.15+V48*0.1+W48*0.1))</f>
        <v/>
      </c>
      <c r="Z48" s="12" t="inlineStr">
        <is>
          <t>A5：辨識出這是大語言模型並解釋「大」的來源，正確。B5：三段依據皆在 matches 內。C3：沒答出它是 OpenAI 的、也沒講它能做什麼（對話、寫程式、整理資料），定義偏窄。D5：引用正確。E3：把 STT 的各種錯字「雀的gpd、雀的gp、雀的gbt」列出來當補充說明，違反 prompt 規則 6，對學生是純雜訊。F5：判斷正確。</t>
        </is>
      </c>
      <c r="AA48" s="12" t="n"/>
      <c r="AB48" s="12" t="n"/>
    </row>
    <row r="49" ht="150" customHeight="1">
      <c r="A49" s="6" t="inlineStr">
        <is>
          <t>C03</t>
        </is>
      </c>
      <c r="B49" s="6" t="inlineStr">
        <is>
          <t>口語錯字</t>
        </is>
      </c>
      <c r="C49" s="6" t="inlineStr">
        <is>
          <t>中</t>
        </is>
      </c>
      <c r="D49" s="7" t="inlineStr">
        <is>
          <t>那個什麼「摸爾定律」是啥？</t>
        </is>
      </c>
      <c r="E49" s="7" t="inlineStr">
        <is>
          <t>逐字稿寫成「默爾定律」，正確是摩爾定律：每隔一段時間電腦運算效能就會翻一倍；老師補充現在摩爾定律已經維持不下去了，沒辦法像以前那樣直接翻倍。</t>
        </is>
      </c>
      <c r="F49" s="6" t="inlineStr">
        <is>
          <t>V2</t>
        </is>
      </c>
      <c r="G49" s="7" t="inlineStr">
        <is>
          <t>586-617</t>
        </is>
      </c>
      <c r="H49" s="6" t="inlineStr">
        <is>
          <t>N</t>
        </is>
      </c>
      <c r="I49" s="8" t="inlineStr">
        <is>
          <t>摸爾定律是指每隔一段時間，電腦運算的效能就會翻一倍。
(依據：aiA10_1140119_2 586.39-601.75s)</t>
        </is>
      </c>
      <c r="J49" s="8" t="inlineStr">
        <is>
          <t>aiA10_1140119_2 | aiA10_1140119_6 | aiA10_1140119_1</t>
        </is>
      </c>
      <c r="K49" s="8" t="inlineStr">
        <is>
          <t>586-602s | 618-628s | 704-716s | 1360-1380s | 628-647s</t>
        </is>
      </c>
      <c r="L49" s="25" t="inlineStr">
        <is>
          <t>N</t>
        </is>
      </c>
      <c r="M49" s="8" t="inlineStr">
        <is>
          <t>matched</t>
        </is>
      </c>
      <c r="N49" s="8" t="n">
        <v>15</v>
      </c>
      <c r="O49" s="8" t="n">
        <v>0.6646</v>
      </c>
      <c r="P49" s="8" t="inlineStr">
        <is>
          <t>N</t>
        </is>
      </c>
      <c r="Q49" s="8" t="n">
        <v>16.13</v>
      </c>
      <c r="R49" s="26" t="n">
        <v>4</v>
      </c>
      <c r="S49" s="26" t="n">
        <v>5</v>
      </c>
      <c r="T49" s="26" t="n">
        <v>3</v>
      </c>
      <c r="U49" s="26" t="n">
        <v>5</v>
      </c>
      <c r="V49" s="26" t="n">
        <v>4</v>
      </c>
      <c r="W49" s="26" t="n">
        <v>5</v>
      </c>
      <c r="X49" s="26" t="inlineStr">
        <is>
          <t>N</t>
        </is>
      </c>
      <c r="Y49" s="24">
        <f>IF(COUNT(R49:W49)&lt;6,"",IF(X49="Y",MIN(2,R49*0.3+S49*0.2+T49*0.15+U49*0.15+V49*0.1+W49*0.1),R49*0.3+S49*0.2+T49*0.15+U49*0.15+V49*0.1+W49*0.1))</f>
        <v/>
      </c>
      <c r="Z49" s="12" t="inlineStr">
        <is>
          <t>A4：「每隔一段時間電腦運算效能翻一倍」正確；但沿用使用者與逐字稿的錯字「摸爾定律」，沒有更正為摩爾定律。B5：出自 586-602s。C3：漏掉「現在摩爾定律已經維持不下去了」，而 matches 裡 602-617s 就有這段。D5：引用精準。E4：一句話清楚。F5：判斷正確。</t>
        </is>
      </c>
      <c r="AA49" s="12" t="n"/>
      <c r="AB49" s="12" t="n"/>
    </row>
    <row r="50" ht="150" customHeight="1">
      <c r="A50" s="6" t="inlineStr">
        <is>
          <t>C05</t>
        </is>
      </c>
      <c r="B50" s="6" t="inlineStr">
        <is>
          <t>口語錯字</t>
        </is>
      </c>
      <c r="C50" s="6" t="inlineStr">
        <is>
          <t>難</t>
        </is>
      </c>
      <c r="D50" s="7" t="inlineStr">
        <is>
          <t>那個「伯特」模型是什麼？</t>
        </is>
      </c>
      <c r="E50" s="7" t="inlineStr">
        <is>
          <t>BERT，逐字稿被誤寫成 bird、vert、birt、Burg 等。Google 用大量資料訓練的語言模型，2019 年剛出來時算大模型、現在一般電腦就能跑；詞向量 768 維，可做文本摘要、情緒分析，靠上下文關係改變詞向量、解決一詞多義。</t>
        </is>
      </c>
      <c r="F50" s="6" t="inlineStr">
        <is>
          <t>V2+V5+V6</t>
        </is>
      </c>
      <c r="G50" s="7" t="inlineStr">
        <is>
          <t>V2 71-144 / V5 1180-1210 / V6 2106-2134</t>
        </is>
      </c>
      <c r="H50" s="6" t="inlineStr">
        <is>
          <t>N</t>
        </is>
      </c>
      <c r="I50" s="8" t="inlineStr">
        <is>
          <t>「伯特」模型（在影片中亦被稱為 birt、bird、vert 或 Bert）是由 Google 利用其自身大量訓練資料所訓練出來的模型，也是最有名且最常被使用的模型之一。
其相關特點如下：
1. 在 2019 年剛出現時，在當時被算作是大模型。
2. 最早的標準版本是針對英文進行訓練。
3. 具備處理文章的能力，例如給它一段 500 字的文章並進行指定。
（依據：aiA10_1140119_2 70.78-82.82s、107.22-134.78s、1051.96-1067.3s；aiA10_1140119_5 1179.82-1194.82s；aiA10_1140119_6 1530.68-1541.48s）</t>
        </is>
      </c>
      <c r="J50" s="8" t="inlineStr">
        <is>
          <t>aiA10_1140119_6 | aiA10_1140119_5 | aiA10_1140119_2 | aiA10_1140119_1</t>
        </is>
      </c>
      <c r="K50" s="8" t="inlineStr">
        <is>
          <t>1531-1541s | 1180-1195s | 71-83s | 107-123s | 1052-1067s</t>
        </is>
      </c>
      <c r="L50" s="25" t="inlineStr">
        <is>
          <t>N</t>
        </is>
      </c>
      <c r="M50" s="8" t="inlineStr">
        <is>
          <t>matched</t>
        </is>
      </c>
      <c r="N50" s="8" t="n">
        <v>15</v>
      </c>
      <c r="O50" s="8" t="n">
        <v>0.6786</v>
      </c>
      <c r="P50" s="8" t="inlineStr">
        <is>
          <t>N</t>
        </is>
      </c>
      <c r="Q50" s="8" t="n">
        <v>17.22</v>
      </c>
      <c r="R50" s="26" t="n">
        <v>4</v>
      </c>
      <c r="S50" s="26" t="n">
        <v>5</v>
      </c>
      <c r="T50" s="26" t="n">
        <v>3</v>
      </c>
      <c r="U50" s="26" t="n">
        <v>5</v>
      </c>
      <c r="V50" s="26" t="n">
        <v>3</v>
      </c>
      <c r="W50" s="26" t="n">
        <v>5</v>
      </c>
      <c r="X50" s="26" t="inlineStr">
        <is>
          <t>N</t>
        </is>
      </c>
      <c r="Y50" s="24">
        <f>IF(COUNT(R50:W50)&lt;6,"",IF(X50="Y",MIN(2,R50*0.3+S50*0.2+T50*0.15+U50*0.15+V50*0.1+W50*0.1),R50*0.3+S50*0.2+T50*0.15+U50*0.15+V50*0.1+W50*0.1))</f>
        <v/>
      </c>
      <c r="Z50" s="12" t="inlineStr">
        <is>
          <t>A4：Google 訓練、2019 年當時算大模型、最早針對英文，皆正確。B5：五段依據皆在 matches 內。C3：漏掉 768 維詞向量、情緒分析、靠上下文解決一詞多義等重點。D5：跨 V2/V5/V6 引用正確。E3：第 3 點「例如給它一段 500 字的文章並進行指定」句子沒講完，語意殘缺；又把 birt／bird／vert 等錯字列表貼出來。F5：判斷正確。</t>
        </is>
      </c>
      <c r="AA50" s="12" t="n"/>
      <c r="AB50" s="12" t="n"/>
    </row>
    <row r="51" ht="150" customHeight="1">
      <c r="A51" s="6" t="inlineStr">
        <is>
          <t>C06</t>
        </is>
      </c>
      <c r="B51" s="6" t="inlineStr">
        <is>
          <t>口語錯字</t>
        </is>
      </c>
      <c r="C51" s="6" t="inlineStr">
        <is>
          <t>中</t>
        </is>
      </c>
      <c r="D51" s="7" t="inlineStr">
        <is>
          <t>AI 為什麼會歧視？</t>
        </is>
      </c>
      <c r="E51" s="7" t="inlineStr">
        <is>
          <t>因為訓練資料分佈不均。課程例子是加州警察局的通緝犯人臉辨識系統，資料庫裡黑人的照片與犯罪記錄比白人多，導致辨識黑人的準確率比白人高，被認為構成歧視而被喊停。</t>
        </is>
      </c>
      <c r="F51" s="6" t="inlineStr">
        <is>
          <t>V4</t>
        </is>
      </c>
      <c r="G51" s="7" t="inlineStr">
        <is>
          <t>79-227</t>
        </is>
      </c>
      <c r="H51" s="6" t="inlineStr">
        <is>
          <t>N</t>
        </is>
      </c>
      <c r="I51" s="8" t="inlineStr">
        <is>
          <t>AI 產生歧視（例如對黑人的歧視）的原因，是因為在訓練系統的資料庫中，黑人的資料比白人多。這是因為黑人面臨較不好的處境，有些被逼迫去犯罪，導致其犯罪紀錄與訓練資料較多。這使得系統對黑人臉部特徵抓得比較好，辨識黑人通緝犯的準確率比白人高，進而造成對黑人的歧視。
（依據：aiA10_1140119_4 164.19-180.19s、180.19-191.19s、191.19-201.19s、201.19-213.19s）</t>
        </is>
      </c>
      <c r="J51" s="8" t="inlineStr">
        <is>
          <t>aiA10_1140119_4 | aiA10_1140119_3</t>
        </is>
      </c>
      <c r="K51" s="8" t="inlineStr">
        <is>
          <t>201-213s | 138-151s | 180-191s | 213-227s | 191-201s</t>
        </is>
      </c>
      <c r="L51" s="25" t="inlineStr">
        <is>
          <t>N</t>
        </is>
      </c>
      <c r="M51" s="8" t="inlineStr">
        <is>
          <t>matched</t>
        </is>
      </c>
      <c r="N51" s="8" t="n">
        <v>15</v>
      </c>
      <c r="O51" s="8" t="n">
        <v>0.6892</v>
      </c>
      <c r="P51" s="8" t="inlineStr">
        <is>
          <t>N</t>
        </is>
      </c>
      <c r="Q51" s="8" t="n">
        <v>15.76</v>
      </c>
      <c r="R51" s="26" t="n">
        <v>5</v>
      </c>
      <c r="S51" s="26" t="n">
        <v>5</v>
      </c>
      <c r="T51" s="26" t="n">
        <v>4</v>
      </c>
      <c r="U51" s="26" t="n">
        <v>5</v>
      </c>
      <c r="V51" s="26" t="n">
        <v>5</v>
      </c>
      <c r="W51" s="26" t="n">
        <v>5</v>
      </c>
      <c r="X51" s="26" t="inlineStr">
        <is>
          <t>N</t>
        </is>
      </c>
      <c r="Y51" s="24">
        <f>IF(COUNT(R51:W51)&lt;6,"",IF(X51="Y",MIN(2,R51*0.3+S51*0.2+T51*0.15+U51*0.15+V51*0.1+W51*0.1),R51*0.3+S51*0.2+T51*0.15+U51*0.15+V51*0.1+W51*0.1))</f>
        <v/>
      </c>
      <c r="Z51" s="12" t="inlineStr">
        <is>
          <t>A5：訓練資料分佈不均、黑人處境導致資料較多、辨識率較高因而構成歧視，因果鏈完全正確。B5：四段依據皆在 matches 內。C4：漏掉「系統最終被喊停」的結局。D5：引用正確。E5：一段話把因果講清楚，通順。F5：判斷正確。</t>
        </is>
      </c>
      <c r="AA51" s="12" t="n"/>
      <c r="AB51" s="12" t="n"/>
    </row>
  </sheetData>
  <autoFilter ref="A1:AB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34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5" t="inlineStr">
        <is>
          <t>代號</t>
        </is>
      </c>
      <c r="B1" s="5" t="inlineStr">
        <is>
          <t>面向</t>
        </is>
      </c>
      <c r="C1" s="5" t="inlineStr">
        <is>
          <t>權重</t>
        </is>
      </c>
      <c r="D1" s="5" t="inlineStr">
        <is>
          <t>評分時要問的問題</t>
        </is>
      </c>
      <c r="E1" s="5" t="inlineStr">
        <is>
          <t>1 分</t>
        </is>
      </c>
      <c r="F1" s="5" t="inlineStr">
        <is>
          <t>2 分</t>
        </is>
      </c>
      <c r="G1" s="5" t="inlineStr">
        <is>
          <t>3 分</t>
        </is>
      </c>
      <c r="H1" s="5" t="inlineStr">
        <is>
          <t>4 分</t>
        </is>
      </c>
      <c r="I1" s="5" t="inlineStr">
        <is>
          <t>5 分</t>
        </is>
      </c>
    </row>
    <row r="2" ht="72" customHeight="1">
      <c r="A2" s="7" t="inlineStr">
        <is>
          <t>A</t>
        </is>
      </c>
      <c r="B2" s="7" t="inlineStr">
        <is>
          <t>正確性</t>
        </is>
      </c>
      <c r="C2" s="7" t="inlineStr">
        <is>
          <t>30%</t>
        </is>
      </c>
      <c r="D2" s="7" t="inlineStr">
        <is>
          <t>答案內容跟逐字稿講的事實一致嗎？</t>
        </is>
      </c>
      <c r="E2" s="7" t="inlineStr">
        <is>
          <t>明確講錯關鍵事實（數字、人名、公司、因果關係錯誤）</t>
        </is>
      </c>
      <c r="F2" s="7" t="inlineStr">
        <is>
          <t>主要結論錯，只有次要細節對</t>
        </is>
      </c>
      <c r="G2" s="7" t="inlineStr">
        <is>
          <t>大方向對，但有一到兩個可辨識的事實錯誤</t>
        </is>
      </c>
      <c r="H2" s="7" t="inlineStr">
        <is>
          <t>內容正確，僅有無傷大雅的小瑕疵或表述不精準</t>
        </is>
      </c>
      <c r="I2" s="7" t="inlineStr">
        <is>
          <t>完全正確，與逐字稿事實一致，沒有任何錯誤</t>
        </is>
      </c>
    </row>
    <row r="3" ht="72" customHeight="1">
      <c r="A3" s="7" t="inlineStr">
        <is>
          <t>B</t>
        </is>
      </c>
      <c r="B3" s="7" t="inlineStr">
        <is>
          <t>忠實性（不幻覺）</t>
        </is>
      </c>
      <c r="C3" s="7" t="inlineStr">
        <is>
          <t>20%</t>
        </is>
      </c>
      <c r="D3" s="7" t="inlineStr">
        <is>
          <t>每一句話都能在命中的片段裡找到根據嗎？</t>
        </is>
      </c>
      <c r="E3" s="7" t="inlineStr">
        <is>
          <t>大量使用課程外的知識或直接編造內容</t>
        </is>
      </c>
      <c r="F3" s="7" t="inlineStr">
        <is>
          <t>主要論點出自模型自身知識而非片段</t>
        </is>
      </c>
      <c r="G3" s="7" t="inlineStr">
        <is>
          <t>多數有根據，但補充了片段沒提到的資訊</t>
        </is>
      </c>
      <c r="H3" s="7" t="inlineStr">
        <is>
          <t>幾乎全部有根據，僅有一處無法對應到片段</t>
        </is>
      </c>
      <c r="I3" s="7" t="inlineStr">
        <is>
          <t>每一句都能在 matches 的片段中找到出處，零外部知識</t>
        </is>
      </c>
    </row>
    <row r="4" ht="72" customHeight="1">
      <c r="A4" s="7" t="inlineStr">
        <is>
          <t>C</t>
        </is>
      </c>
      <c r="B4" s="7" t="inlineStr">
        <is>
          <t>完整性</t>
        </is>
      </c>
      <c r="C4" s="7" t="inlineStr">
        <is>
          <t>15%</t>
        </is>
      </c>
      <c r="D4" s="7" t="inlineStr">
        <is>
          <t>該講的重點有沒有漏？有沒有只抄第一筆片段？</t>
        </is>
      </c>
      <c r="E4" s="7" t="inlineStr">
        <is>
          <t>只複述單一片段，漏掉一半以上的 gold 要點</t>
        </is>
      </c>
      <c r="F4" s="7" t="inlineStr">
        <is>
          <t>只涵蓋約一半 gold 要點，明顯未跨片段整理</t>
        </is>
      </c>
      <c r="G4" s="7" t="inlineStr">
        <is>
          <t>涵蓋多數要點但漏掉一個關鍵環節</t>
        </is>
      </c>
      <c r="H4" s="7" t="inlineStr">
        <is>
          <t>涵蓋幾乎所有要點，僅漏次要細節</t>
        </is>
      </c>
      <c r="I4" s="7" t="inlineStr">
        <is>
          <t>gold 要點全數涵蓋，且是跨片段歸納而非摘錄</t>
        </is>
      </c>
    </row>
    <row r="5" ht="72" customHeight="1">
      <c r="A5" s="7" t="inlineStr">
        <is>
          <t>D</t>
        </is>
      </c>
      <c r="B5" s="7" t="inlineStr">
        <is>
          <t>引用與時間戳</t>
        </is>
      </c>
      <c r="C5" s="7" t="inlineStr">
        <is>
          <t>15%</t>
        </is>
      </c>
      <c r="D5" s="7" t="inlineStr">
        <is>
          <t>標出的影片與時間對嗎？跳過去真的在講那件事嗎？</t>
        </is>
      </c>
      <c r="E5" s="7" t="inlineStr">
        <is>
          <t>沒有標依據，或標到完全錯誤的影片</t>
        </is>
      </c>
      <c r="F5" s="7" t="inlineStr">
        <is>
          <t>影片對但時間差距超過 60 秒</t>
        </is>
      </c>
      <c r="G5" s="7" t="inlineStr">
        <is>
          <t>影片對，時間誤差 30-60 秒</t>
        </is>
      </c>
      <c r="H5" s="7" t="inlineStr">
        <is>
          <t>影片對，時間誤差 10-30 秒</t>
        </is>
      </c>
      <c r="I5" s="7" t="inlineStr">
        <is>
          <t>影片正確且時間誤差在 10 秒內，跳過去就是該內容</t>
        </is>
      </c>
    </row>
    <row r="6" ht="72" customHeight="1">
      <c r="A6" s="7" t="inlineStr">
        <is>
          <t>E</t>
        </is>
      </c>
      <c r="B6" s="7" t="inlineStr">
        <is>
          <t>清晰度與可讀性</t>
        </is>
      </c>
      <c r="C6" s="7" t="inlineStr">
        <is>
          <t>10%</t>
        </is>
      </c>
      <c r="D6" s="7" t="inlineStr">
        <is>
          <t>學生看得懂嗎？是不是直接貼逐字稿？</t>
        </is>
      </c>
      <c r="E6" s="7" t="inlineStr">
        <is>
          <t>直接貼逐字稿、語句破碎、完全無法閱讀</t>
        </is>
      </c>
      <c r="F6" s="7" t="inlineStr">
        <is>
          <t>看得懂但冗長雜亂，夾雜口語贅字</t>
        </is>
      </c>
      <c r="G6" s="7" t="inlineStr">
        <is>
          <t>可讀，但結構鬆散或長度不恰當</t>
        </is>
      </c>
      <c r="H6" s="7" t="inlineStr">
        <is>
          <t>結構清楚、長度適中，僅有小處可再精簡</t>
        </is>
      </c>
      <c r="I6" s="7" t="inlineStr">
        <is>
          <t>有結構、精簡、口語通順，學生一看就懂</t>
        </is>
      </c>
    </row>
    <row r="7" ht="72" customHeight="1">
      <c r="A7" s="7" t="inlineStr">
        <is>
          <t>F</t>
        </is>
      </c>
      <c r="B7" s="7" t="inlineStr">
        <is>
          <t>拒答恰當性</t>
        </is>
      </c>
      <c r="C7" s="7" t="inlineStr">
        <is>
          <t>10%</t>
        </is>
      </c>
      <c r="D7" s="7" t="inlineStr">
        <is>
          <t>該答的有答、不該答的有拒絕嗎？</t>
        </is>
      </c>
      <c r="E7" s="7" t="inlineStr">
        <is>
          <t>課程外問題硬掰出答案，或資料充足卻完全拒答</t>
        </is>
      </c>
      <c r="F7" s="7" t="inlineStr">
        <is>
          <t>判斷錯誤且答案帶有誤導性</t>
        </is>
      </c>
      <c r="G7" s="7" t="inlineStr">
        <is>
          <t>判斷勉強正確但理由或措辭不當</t>
        </is>
      </c>
      <c r="H7" s="7" t="inlineStr">
        <is>
          <t>判斷正確，措辭稍可改進</t>
        </is>
      </c>
      <c r="I7" s="7" t="inlineStr">
        <is>
          <t>判斷完全正確：該拒答的用罐頭句拒答，該回答的正常回答</t>
        </is>
      </c>
    </row>
    <row r="9" ht="34" customHeight="1">
      <c r="A9" s="13" t="inlineStr">
        <is>
          <t>加權總分公式</t>
        </is>
      </c>
      <c r="B9" s="4" t="inlineStr">
        <is>
          <t>A×0.30 + B×0.20 + C×0.15 + D×0.15 + E×0.10 + F×0.10</t>
        </is>
      </c>
    </row>
    <row r="10" ht="34" customHeight="1">
      <c r="A10" s="13" t="inlineStr">
        <is>
          <t>致命錯誤規則</t>
        </is>
      </c>
      <c r="B10" s="4" t="inlineStr">
        <is>
          <t>出現幻覺（B≤2）或引用錯影片（D≤2）時，在「致命錯誤」欄填 Y，該題加權總分自動壓到 2.00 上限。避免「清晰度 5 分」把一個錯誤答案拉成及格。</t>
        </is>
      </c>
    </row>
    <row r="11" ht="34" customHeight="1">
      <c r="A11" s="13" t="inlineStr">
        <is>
          <t>評分順序建議</t>
        </is>
      </c>
      <c r="B11" s="4" t="inlineStr">
        <is>
          <t>先看 matches 片段內容 → 評 B 忠實性與 D 引用 → 再對 Gold 要點評 A 與 C → 最後評 E 與 F。先評 B/D 可避免被通順的文筆影響對正確性的判斷。</t>
        </is>
      </c>
    </row>
    <row r="12" ht="34" customHeight="1">
      <c r="A12" s="13" t="inlineStr">
        <is>
          <t>A 與 B 為何分開</t>
        </is>
      </c>
      <c r="B12" s="4" t="inlineStr">
        <is>
          <t>prompt 規則第 3 條禁止使用外部知識。答案正確但根據來自模型自身知識（片段裡沒有）對本系統仍是失敗，只有 A/B 分開才抓得出這種「A 高 B 低」的情況。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4" customWidth="1" min="3" max="3"/>
    <col width="52" customWidth="1" min="4" max="4"/>
  </cols>
  <sheetData>
    <row r="1">
      <c r="A1" s="5" t="inlineStr">
        <is>
          <t>題型</t>
        </is>
      </c>
      <c r="B1" s="5" t="inlineStr">
        <is>
          <t>題數</t>
        </is>
      </c>
      <c r="C1" s="5" t="inlineStr">
        <is>
          <t>定義</t>
        </is>
      </c>
      <c r="D1" s="5" t="inlineStr">
        <is>
          <t>測什麼</t>
        </is>
      </c>
    </row>
    <row r="2" ht="40" customHeight="1">
      <c r="A2" s="7" t="inlineStr">
        <is>
          <t>單片段事實</t>
        </is>
      </c>
      <c r="B2" s="7" t="n">
        <v>13</v>
      </c>
      <c r="C2" s="7" t="inlineStr">
        <is>
          <t>答案集中在單一片段內的具體事實（數字、名稱、年份）</t>
        </is>
      </c>
      <c r="D2" s="7" t="inlineStr">
        <is>
          <t>基礎向量檢索與答案抽取是否可靠</t>
        </is>
      </c>
    </row>
    <row r="3" ht="40" customHeight="1">
      <c r="A3" s="7" t="inlineStr">
        <is>
          <t>跨片段歸納</t>
        </is>
      </c>
      <c r="B3" s="7" t="n">
        <v>10</v>
      </c>
      <c r="C3" s="7" t="inlineStr">
        <is>
          <t>答案需要整合同一支影片內多個連續片段</t>
        </is>
      </c>
      <c r="D3" s="7" t="inlineStr">
        <is>
          <t>QA_MATCH_LIMIT 是否足夠、prompt 規則 2（不可只摘錄第一筆）是否生效</t>
        </is>
      </c>
    </row>
    <row r="4" ht="40" customHeight="1">
      <c r="A4" s="7" t="inlineStr">
        <is>
          <t>跨影片</t>
        </is>
      </c>
      <c r="B4" s="7" t="n">
        <v>5</v>
      </c>
      <c r="C4" s="7" t="inlineStr">
        <is>
          <t>答案散落在兩支以上的影片</t>
        </is>
      </c>
      <c r="D4" s="7" t="inlineStr">
        <is>
          <t>bridgeScope 是否把整門課的影片都納入 scope</t>
        </is>
      </c>
    </row>
    <row r="5" ht="40" customHeight="1">
      <c r="A5" s="7" t="inlineStr">
        <is>
          <t>名詞定義</t>
        </is>
      </c>
      <c r="B5" s="7" t="n">
        <v>5</v>
      </c>
      <c r="C5" s="7" t="inlineStr">
        <is>
          <t>課程中出現的專有名詞解釋</t>
        </is>
      </c>
      <c r="D5" s="7" t="inlineStr">
        <is>
          <t>定義類問題的檢索與表達品質</t>
        </is>
      </c>
    </row>
    <row r="6" ht="40" customHeight="1">
      <c r="A6" s="7" t="inlineStr">
        <is>
          <t>時間定位</t>
        </is>
      </c>
      <c r="B6" s="7" t="n">
        <v>5</v>
      </c>
      <c r="C6" s="7" t="inlineStr">
        <is>
          <t>問某個主題在影片的哪一段講的</t>
        </is>
      </c>
      <c r="D6" s="7" t="inlineStr">
        <is>
          <t>時間戳與 jumpUrl 準確度（D 面向的主力）</t>
        </is>
      </c>
    </row>
    <row r="7" ht="40" customHeight="1">
      <c r="A7" s="7" t="inlineStr">
        <is>
          <t>課程外負向</t>
        </is>
      </c>
      <c r="B7" s="7" t="n">
        <v>7</v>
      </c>
      <c r="C7" s="7" t="inlineStr">
        <is>
          <t>課程完全沒有涵蓋的問題，正確行為是拒答</t>
        </is>
      </c>
      <c r="D7" s="7" t="inlineStr">
        <is>
          <t>F 面向：是否會用外部知識硬答（幻覺的主要來源）</t>
        </is>
      </c>
    </row>
    <row r="8" ht="40" customHeight="1">
      <c r="A8" s="7" t="inlineStr">
        <is>
          <t>口語錯字</t>
        </is>
      </c>
      <c r="B8" s="7" t="n">
        <v>5</v>
      </c>
      <c r="C8" s="7" t="inlineStr">
        <is>
          <t>學生口語問法，或問到被 STT 誤寫的專有名詞</t>
        </is>
      </c>
      <c r="D8" s="7" t="inlineStr">
        <is>
          <t>prompt 規則 4（專有名詞對齊）與真實使用情境的韌性</t>
        </is>
      </c>
    </row>
    <row r="9">
      <c r="A9" s="13" t="inlineStr">
        <is>
          <t>合計</t>
        </is>
      </c>
      <c r="B9" s="13">
        <f>SUM(B2:B8)</f>
        <v/>
      </c>
      <c r="C9" s="14" t="inlineStr">
        <is>
          <t>題庫全部取自「AI入門基礎課」6 支影片的實際逐字稿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52" customWidth="1" min="4" max="4"/>
  </cols>
  <sheetData>
    <row r="1">
      <c r="A1" s="15" t="inlineStr">
        <is>
          <t>整體</t>
        </is>
      </c>
    </row>
    <row r="2">
      <c r="A2" s="14" t="inlineStr">
        <is>
          <t>題庫總題數</t>
        </is>
      </c>
      <c r="B2" s="16">
        <f>50</f>
        <v/>
      </c>
      <c r="D2" s="17" t="inlineStr"/>
    </row>
    <row r="3">
      <c r="A3" s="14" t="inlineStr">
        <is>
          <t>已評題數</t>
        </is>
      </c>
      <c r="B3" s="16">
        <f>COUNT(評分表!Y2:Y51)</f>
        <v/>
      </c>
      <c r="D3" s="17" t="inlineStr">
        <is>
          <t>加權總分已算出的題數</t>
        </is>
      </c>
    </row>
    <row r="4">
      <c r="A4" s="14" t="inlineStr">
        <is>
          <t>加權總分平均</t>
        </is>
      </c>
      <c r="B4" s="18">
        <f>IFERROR(AVERAGE(評分表!Y2:Y51),"未填")</f>
        <v/>
      </c>
      <c r="D4" s="17" t="inlineStr">
        <is>
          <t>滿分 5.00</t>
        </is>
      </c>
    </row>
    <row r="5">
      <c r="A5" s="14" t="inlineStr">
        <is>
          <t>致命錯誤題數</t>
        </is>
      </c>
      <c r="B5" s="16">
        <f>COUNTIF(評分表!X2:X51,"Y")</f>
        <v/>
      </c>
      <c r="D5" s="17" t="inlineStr">
        <is>
          <t>幻覺或引用錯影片</t>
        </is>
      </c>
    </row>
    <row r="6">
      <c r="A6" s="14" t="inlineStr">
        <is>
          <t>致命錯誤率</t>
        </is>
      </c>
      <c r="B6" s="19">
        <f>IFERROR(COUNTIF(評分表!X2:X51,"Y")/COUNT(評分表!Y2:Y51),"未填")</f>
        <v/>
      </c>
      <c r="D6" s="17" t="inlineStr"/>
    </row>
    <row r="8">
      <c r="A8" s="15" t="inlineStr">
        <is>
          <t>各面向平均</t>
        </is>
      </c>
    </row>
    <row r="9">
      <c r="A9" s="14" t="inlineStr">
        <is>
          <t>A 正確性</t>
        </is>
      </c>
      <c r="B9" s="18">
        <f>IFERROR(AVERAGE(評分表!R2:R51),"未填")</f>
        <v/>
      </c>
      <c r="D9" s="17" t="inlineStr">
        <is>
          <t>A 明顯高於 B → 答案正確但根據來自模型自身知識，是檢索或 prompt 的問題</t>
        </is>
      </c>
    </row>
    <row r="10">
      <c r="A10" s="14" t="inlineStr">
        <is>
          <t>B 忠實性</t>
        </is>
      </c>
      <c r="B10" s="18">
        <f>IFERROR(AVERAGE(評分表!S2:S51),"未填")</f>
        <v/>
      </c>
      <c r="D10" s="17" t="inlineStr"/>
    </row>
    <row r="11">
      <c r="A11" s="14" t="inlineStr">
        <is>
          <t>C 完整性</t>
        </is>
      </c>
      <c r="B11" s="18">
        <f>IFERROR(AVERAGE(評分表!T2:T51),"未填")</f>
        <v/>
      </c>
      <c r="D11" s="17" t="inlineStr">
        <is>
          <t>C 偏低且集中在跨片段題 → 考慮調高 QA_MATCH_LIMIT</t>
        </is>
      </c>
    </row>
    <row r="12">
      <c r="A12" s="14" t="inlineStr">
        <is>
          <t>D 引用與時間戳</t>
        </is>
      </c>
      <c r="B12" s="18">
        <f>IFERROR(AVERAGE(評分表!U2:U51),"未填")</f>
        <v/>
      </c>
      <c r="D12" s="17" t="inlineStr">
        <is>
          <t>D 偏低 → 時間戳或 jumpUrl 有問題，學生跳過去會看到不相干內容</t>
        </is>
      </c>
    </row>
    <row r="13">
      <c r="A13" s="14" t="inlineStr">
        <is>
          <t>E 清晰度</t>
        </is>
      </c>
      <c r="B13" s="18">
        <f>IFERROR(AVERAGE(評分表!V2:V51),"未填")</f>
        <v/>
      </c>
      <c r="D13" s="17" t="inlineStr"/>
    </row>
    <row r="14">
      <c r="A14" s="14" t="inlineStr">
        <is>
          <t>F 拒答恰當性</t>
        </is>
      </c>
      <c r="B14" s="18">
        <f>IFERROR(AVERAGE(評分表!W2:W51),"未填")</f>
        <v/>
      </c>
      <c r="D14" s="17" t="inlineStr"/>
    </row>
    <row r="16">
      <c r="A16" s="15" t="inlineStr">
        <is>
          <t>各題型加權總分平均</t>
        </is>
      </c>
    </row>
    <row r="17">
      <c r="A17" s="13" t="inlineStr">
        <is>
          <t>題型</t>
        </is>
      </c>
      <c r="B17" s="13" t="inlineStr">
        <is>
          <t>平均</t>
        </is>
      </c>
      <c r="C17" s="13" t="inlineStr">
        <is>
          <t>題數</t>
        </is>
      </c>
    </row>
    <row r="18">
      <c r="A18" s="14" t="inlineStr">
        <is>
          <t>單片段事實</t>
        </is>
      </c>
      <c r="B18" s="18">
        <f>IFERROR(AVERAGEIF(評分表!$B$2:$B$51,A18,評分表!$Y$2:$Y$51),"未填")</f>
        <v/>
      </c>
      <c r="C18" s="20">
        <f>COUNTIF(評分表!$B$2:$B$51,A18)</f>
        <v/>
      </c>
    </row>
    <row r="19">
      <c r="A19" s="14" t="inlineStr">
        <is>
          <t>跨片段歸納</t>
        </is>
      </c>
      <c r="B19" s="18">
        <f>IFERROR(AVERAGEIF(評分表!$B$2:$B$51,A19,評分表!$Y$2:$Y$51),"未填")</f>
        <v/>
      </c>
      <c r="C19" s="20">
        <f>COUNTIF(評分表!$B$2:$B$51,A19)</f>
        <v/>
      </c>
    </row>
    <row r="20">
      <c r="A20" s="14" t="inlineStr">
        <is>
          <t>跨影片</t>
        </is>
      </c>
      <c r="B20" s="18">
        <f>IFERROR(AVERAGEIF(評分表!$B$2:$B$51,A20,評分表!$Y$2:$Y$51),"未填")</f>
        <v/>
      </c>
      <c r="C20" s="20">
        <f>COUNTIF(評分表!$B$2:$B$51,A20)</f>
        <v/>
      </c>
    </row>
    <row r="21">
      <c r="A21" s="14" t="inlineStr">
        <is>
          <t>名詞定義</t>
        </is>
      </c>
      <c r="B21" s="18">
        <f>IFERROR(AVERAGEIF(評分表!$B$2:$B$51,A21,評分表!$Y$2:$Y$51),"未填")</f>
        <v/>
      </c>
      <c r="C21" s="20">
        <f>COUNTIF(評分表!$B$2:$B$51,A21)</f>
        <v/>
      </c>
    </row>
    <row r="22">
      <c r="A22" s="14" t="inlineStr">
        <is>
          <t>時間定位</t>
        </is>
      </c>
      <c r="B22" s="18">
        <f>IFERROR(AVERAGEIF(評分表!$B$2:$B$51,A22,評分表!$Y$2:$Y$51),"未填")</f>
        <v/>
      </c>
      <c r="C22" s="20">
        <f>COUNTIF(評分表!$B$2:$B$51,A22)</f>
        <v/>
      </c>
    </row>
    <row r="23">
      <c r="A23" s="14" t="inlineStr">
        <is>
          <t>課程外負向</t>
        </is>
      </c>
      <c r="B23" s="18">
        <f>IFERROR(AVERAGEIF(評分表!$B$2:$B$51,A23,評分表!$Y$2:$Y$51),"未填")</f>
        <v/>
      </c>
      <c r="C23" s="20">
        <f>COUNTIF(評分表!$B$2:$B$51,A23)</f>
        <v/>
      </c>
    </row>
    <row r="24">
      <c r="A24" s="14" t="inlineStr">
        <is>
          <t>口語錯字</t>
        </is>
      </c>
      <c r="B24" s="18">
        <f>IFERROR(AVERAGEIF(評分表!$B$2:$B$51,A24,評分表!$Y$2:$Y$51),"未填")</f>
        <v/>
      </c>
      <c r="C24" s="20">
        <f>COUNTIF(評分表!$B$2:$B$51,A24)</f>
        <v/>
      </c>
    </row>
    <row r="26">
      <c r="A26" s="15" t="inlineStr">
        <is>
          <t>拒答混淆矩陣</t>
        </is>
      </c>
    </row>
    <row r="27">
      <c r="A27" s="14" t="inlineStr">
        <is>
          <t>正確拒答</t>
        </is>
      </c>
      <c r="B27" s="16">
        <f>COUNTIFS(評分表!$H$2:$H$51,"Y",評分表!$L$2:$L$51,"Y")</f>
        <v/>
      </c>
      <c r="D27" s="17" t="inlineStr">
        <is>
          <t>課程外問題，系統正確拒答</t>
        </is>
      </c>
    </row>
    <row r="28">
      <c r="A28" s="14" t="inlineStr">
        <is>
          <t>該拒答卻硬答</t>
        </is>
      </c>
      <c r="B28" s="16">
        <f>COUNTIFS(評分表!$H$2:$H$51,"Y",評分表!$L$2:$L$51,"N")</f>
        <v/>
      </c>
      <c r="D28" s="17" t="inlineStr">
        <is>
          <t>幻覺的主要來源，最嚴重的失敗模式</t>
        </is>
      </c>
    </row>
    <row r="29">
      <c r="A29" s="14" t="inlineStr">
        <is>
          <t>不該拒答卻拒答</t>
        </is>
      </c>
      <c r="B29" s="16">
        <f>COUNTIFS(評分表!$H$2:$H$51,"N",評分表!$L$2:$L$51,"Y")</f>
        <v/>
      </c>
      <c r="D29" s="17" t="inlineStr">
        <is>
          <t>假拒答。資料有卻答不出來，通常是檢索或 QA_MATCH_LIMIT 問題</t>
        </is>
      </c>
    </row>
    <row r="30">
      <c r="A30" s="14" t="inlineStr">
        <is>
          <t>正確回答</t>
        </is>
      </c>
      <c r="B30" s="16">
        <f>COUNTIFS(評分表!$H$2:$H$51,"N",評分表!$L$2:$L$51,"N")</f>
        <v/>
      </c>
      <c r="D30" s="17" t="inlineStr">
        <is>
          <t>課程內問題，系統正常回答</t>
        </is>
      </c>
    </row>
    <row r="32">
      <c r="A32" s="15" t="inlineStr">
        <is>
          <t>快取與效能</t>
        </is>
      </c>
    </row>
    <row r="33">
      <c r="A33" s="14" t="inlineStr">
        <is>
          <t>FAQ 快取命中題數</t>
        </is>
      </c>
      <c r="B33" s="16">
        <f>COUNTIF(評分表!P2:P51,"Y")</f>
        <v/>
      </c>
      <c r="D33" s="17" t="inlineStr">
        <is>
          <t>測試時應為 0。大於 0 代表評到的是快取而不是模型，該題結果無效</t>
        </is>
      </c>
    </row>
    <row r="34">
      <c r="A34" s="14" t="inlineStr">
        <is>
          <t>平均回應秒數</t>
        </is>
      </c>
      <c r="B34" s="18">
        <f>IFERROR(AVERAGE(評分表!Q2:Q51),"未填")</f>
        <v/>
      </c>
      <c r="D34" s="17" t="inlineStr"/>
    </row>
    <row r="35">
      <c r="A35" s="14" t="inlineStr">
        <is>
          <t>平均命中片段數</t>
        </is>
      </c>
      <c r="B35" s="18">
        <f>IFERROR(AVERAGE(評分表!N2:N51),"未填")</f>
        <v/>
      </c>
      <c r="D35" s="17" t="inlineStr">
        <is>
          <t>上限受 QA_MATCH_LIMIT 控制（本機 .env 目前為 15）</t>
        </is>
      </c>
    </row>
    <row r="37">
      <c r="A37" s="15" t="inlineStr">
        <is>
          <t>人工複核</t>
        </is>
      </c>
    </row>
    <row r="38">
      <c r="A38" s="14" t="inlineStr">
        <is>
          <t>已複核題數</t>
        </is>
      </c>
      <c r="B38" s="16">
        <f>COUNTA(評分表!AA2:AA51)</f>
        <v/>
      </c>
      <c r="D38" s="17" t="inlineStr">
        <is>
          <t>建議至少抽 20% 複核</t>
        </is>
      </c>
    </row>
    <row r="39">
      <c r="A39" s="14" t="inlineStr">
        <is>
          <t>複核同意題數</t>
        </is>
      </c>
      <c r="B39" s="16">
        <f>COUNTIF(評分表!AA2:AA51,"同意")</f>
        <v/>
      </c>
      <c r="D39" s="17" t="inlineStr"/>
    </row>
    <row r="40">
      <c r="A40" s="14" t="inlineStr">
        <is>
          <t>複核一致率</t>
        </is>
      </c>
      <c r="B40" s="19">
        <f>IFERROR(COUNTIF(評分表!AA2:AA51,"同意")/COUNTA(評分表!AA2:AA51),"未填")</f>
        <v/>
      </c>
      <c r="D40" s="17" t="inlineStr">
        <is>
          <t>低於 80% 代表評分準則的錨定描述需要再細化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66" customWidth="1" min="3" max="3"/>
  </cols>
  <sheetData>
    <row r="1">
      <c r="A1" s="5" t="inlineStr">
        <is>
          <t>項目</t>
        </is>
      </c>
      <c r="B1" s="5" t="inlineStr">
        <is>
          <t>值</t>
        </is>
      </c>
      <c r="C1" s="5" t="inlineStr">
        <is>
          <t>說明</t>
        </is>
      </c>
    </row>
    <row r="2" ht="30" customHeight="1">
      <c r="A2" s="21" t="inlineStr">
        <is>
          <t>課程 ID</t>
        </is>
      </c>
      <c r="B2" s="22" t="inlineStr">
        <is>
          <t>6a6da68456dd124511ec5196</t>
        </is>
      </c>
      <c r="C2" s="7" t="inlineStr">
        <is>
          <t>本次評測的課程</t>
        </is>
      </c>
    </row>
    <row r="3" ht="30" customHeight="1">
      <c r="A3" s="21" t="inlineStr">
        <is>
          <t>課程名稱</t>
        </is>
      </c>
      <c r="B3" s="22" t="inlineStr">
        <is>
          <t>AI入門基礎課</t>
        </is>
      </c>
      <c r="C3" s="7" t="inlineStr">
        <is>
          <t>6 支影片，共約 3.4 小時，694 個文字片段</t>
        </is>
      </c>
    </row>
    <row r="4" ht="30" customHeight="1">
      <c r="A4" s="21" t="inlineStr">
        <is>
          <t>題庫題數</t>
        </is>
      </c>
      <c r="B4" s="23" t="inlineStr"/>
      <c r="C4" s="7" t="inlineStr">
        <is>
          <t>★ 見「題型說明」分頁</t>
        </is>
      </c>
    </row>
    <row r="5" ht="30" customHeight="1">
      <c r="A5" s="21" t="inlineStr">
        <is>
          <t>測試日期</t>
        </is>
      </c>
      <c r="B5" s="23" t="inlineStr">
        <is>
          <t>2026-08-24</t>
        </is>
      </c>
      <c r="C5" s="7" t="inlineStr">
        <is>
          <t>★ 請填寫</t>
        </is>
      </c>
    </row>
    <row r="6" ht="30" customHeight="1">
      <c r="A6" s="21" t="inlineStr">
        <is>
          <t>評分者</t>
        </is>
      </c>
      <c r="B6" s="23" t="inlineStr">
        <is>
          <t>Claude (自動評分) — 待人工複核</t>
        </is>
      </c>
      <c r="C6" s="7" t="inlineStr">
        <is>
          <t>★ 請填寫</t>
        </is>
      </c>
    </row>
    <row r="7" ht="30" customHeight="1">
      <c r="A7" s="21" t="inlineStr">
        <is>
          <t>QA_MATCH_LIMIT</t>
        </is>
      </c>
      <c r="B7" s="22" t="inlineStr">
        <is>
          <t>15</t>
        </is>
      </c>
      <c r="C7" s="7" t="inlineStr">
        <is>
          <t>讀自本機 backend/.env（2026-08-23）。VM 實際值請以 /health 為準</t>
        </is>
      </c>
    </row>
    <row r="8" ht="30" customHeight="1">
      <c r="A8" s="21" t="inlineStr">
        <is>
          <t>GEMINI_CHAT_MODEL</t>
        </is>
      </c>
      <c r="B8" s="22" t="inlineStr">
        <is>
          <t>gemini-3.5-flash</t>
        </is>
      </c>
      <c r="C8" s="7" t="inlineStr">
        <is>
          <t>同上</t>
        </is>
      </c>
    </row>
    <row r="9" ht="30" customHeight="1">
      <c r="A9" s="21" t="inlineStr">
        <is>
          <t>QA_VECTOR_SEARCH_MODE</t>
        </is>
      </c>
      <c r="B9" s="22" t="inlineStr">
        <is>
          <t>memory</t>
        </is>
      </c>
      <c r="C9" s="7" t="inlineStr">
        <is>
          <t>同上</t>
        </is>
      </c>
    </row>
    <row r="10" ht="30" customHeight="1">
      <c r="A10" s="21" t="inlineStr">
        <is>
          <t>QA_QUERY_EMBEDDING_PROVIDER</t>
        </is>
      </c>
      <c r="B10" s="22" t="inlineStr">
        <is>
          <t>gemini</t>
        </is>
      </c>
      <c r="C10" s="7" t="inlineStr">
        <is>
          <t>同上</t>
        </is>
      </c>
    </row>
    <row r="11" ht="30" customHeight="1">
      <c r="A11" s="21" t="inlineStr">
        <is>
          <t>QA_ANSWER_PROVIDER</t>
        </is>
      </c>
      <c r="B11" s="22" t="inlineStr">
        <is>
          <t>gemini</t>
        </is>
      </c>
      <c r="C11" s="7" t="inlineStr">
        <is>
          <t>同上</t>
        </is>
      </c>
    </row>
    <row r="12" ht="30" customHeight="1">
      <c r="A12" s="21" t="inlineStr">
        <is>
          <t>FAQ_CACHE_ENABLED</t>
        </is>
      </c>
      <c r="B12" s="23" t="inlineStr">
        <is>
          <t>false</t>
        </is>
      </c>
      <c r="C12" s="7" t="inlineStr">
        <is>
          <t>★ 測試前務必設為 false，否則相似題會回快取，評到的不是模型</t>
        </is>
      </c>
    </row>
    <row r="13" ht="30" customHeight="1">
      <c r="A13" s="21" t="inlineStr">
        <is>
          <t>測試前是否已清空 FAQ</t>
        </is>
      </c>
      <c r="B13" s="23" t="inlineStr">
        <is>
          <t>是（faqs collection 清為 0 筆）</t>
        </is>
      </c>
      <c r="C13" s="7" t="inlineStr">
        <is>
          <t>★ 請填 是/否。改設定不會讓舊快取失效，需手動 DELETE /api/v1/courses/{courseId}/faqs</t>
        </is>
      </c>
    </row>
    <row r="14" ht="30" customHeight="1">
      <c r="A14" s="21" t="inlineStr">
        <is>
          <t>備註</t>
        </is>
      </c>
      <c r="B14" s="23" t="inlineStr">
        <is>
          <t>run 2026-08-24T13-00-40-654Z；50 題，錯誤 0，FAQ 快取命中 0</t>
        </is>
      </c>
      <c r="C14" s="7" t="inlineStr">
        <is>
          <t>任何影響本輪結果的環境差異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34" customWidth="1" min="4" max="4"/>
    <col width="60" customWidth="1" min="5" max="5"/>
    <col width="12" customWidth="1" min="6" max="6"/>
    <col width="20" customWidth="1" min="7" max="7"/>
    <col width="11" customWidth="1" min="8" max="8"/>
    <col width="46" customWidth="1" min="9" max="9"/>
    <col width="16" customWidth="1" min="10" max="10"/>
    <col width="16" customWidth="1" min="11" max="11"/>
    <col width="13" customWidth="1" min="12" max="12"/>
    <col width="15" customWidth="1" min="13" max="13"/>
    <col width="11" customWidth="1" min="14" max="14"/>
    <col width="10" customWidth="1" min="15" max="15"/>
    <col width="13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1" customWidth="1" min="23" max="23"/>
    <col width="10" customWidth="1" min="24" max="24"/>
    <col width="10" customWidth="1" min="25" max="25"/>
    <col width="52" customWidth="1" min="26" max="26"/>
    <col width="11" customWidth="1" min="27" max="27"/>
    <col width="30" customWidth="1" min="28" max="28"/>
  </cols>
  <sheetData>
    <row r="1">
      <c r="A1" s="5" t="inlineStr">
        <is>
          <t>題號</t>
        </is>
      </c>
      <c r="B1" s="5" t="inlineStr">
        <is>
          <t>題型</t>
        </is>
      </c>
      <c r="C1" s="5" t="inlineStr">
        <is>
          <t>難度</t>
        </is>
      </c>
      <c r="D1" s="5" t="inlineStr">
        <is>
          <t>問題</t>
        </is>
      </c>
      <c r="E1" s="5" t="inlineStr">
        <is>
          <t>Gold 答案要點</t>
        </is>
      </c>
      <c r="F1" s="5" t="inlineStr">
        <is>
          <t>應命中影片</t>
        </is>
      </c>
      <c r="G1" s="5" t="inlineStr">
        <is>
          <t>應命中時間(秒)</t>
        </is>
      </c>
      <c r="H1" s="5" t="inlineStr">
        <is>
          <t>是否應拒答</t>
        </is>
      </c>
      <c r="I1" s="5" t="inlineStr">
        <is>
          <t>系統答案</t>
        </is>
      </c>
      <c r="J1" s="5" t="inlineStr">
        <is>
          <t>系統引用影片</t>
        </is>
      </c>
      <c r="K1" s="5" t="inlineStr">
        <is>
          <t>系統引用時間</t>
        </is>
      </c>
      <c r="L1" s="5" t="inlineStr">
        <is>
          <t>系統是否拒答</t>
        </is>
      </c>
      <c r="M1" s="5" t="inlineStr">
        <is>
          <t>matchStatus</t>
        </is>
      </c>
      <c r="N1" s="5" t="inlineStr">
        <is>
          <t>matchCount</t>
        </is>
      </c>
      <c r="O1" s="5" t="inlineStr">
        <is>
          <t>topScore</t>
        </is>
      </c>
      <c r="P1" s="5" t="inlineStr">
        <is>
          <t>faqCache命中</t>
        </is>
      </c>
      <c r="Q1" s="5" t="inlineStr">
        <is>
          <t>回應秒數</t>
        </is>
      </c>
      <c r="R1" s="5" t="inlineStr">
        <is>
          <t>A 正確性</t>
        </is>
      </c>
      <c r="S1" s="5" t="inlineStr">
        <is>
          <t>B 忠實性</t>
        </is>
      </c>
      <c r="T1" s="5" t="inlineStr">
        <is>
          <t>C 完整性</t>
        </is>
      </c>
      <c r="U1" s="5" t="inlineStr">
        <is>
          <t>D 引用</t>
        </is>
      </c>
      <c r="V1" s="5" t="inlineStr">
        <is>
          <t>E 清晰度</t>
        </is>
      </c>
      <c r="W1" s="5" t="inlineStr">
        <is>
          <t>F 拒答恰當</t>
        </is>
      </c>
      <c r="X1" s="5" t="inlineStr">
        <is>
          <t>致命錯誤</t>
        </is>
      </c>
      <c r="Y1" s="5" t="inlineStr">
        <is>
          <t>加權總分</t>
        </is>
      </c>
      <c r="Z1" s="5" t="inlineStr">
        <is>
          <t>評分理由</t>
        </is>
      </c>
      <c r="AA1" s="5" t="inlineStr">
        <is>
          <t>人工複核</t>
        </is>
      </c>
      <c r="AB1" s="5" t="inlineStr">
        <is>
          <t>複核備註</t>
        </is>
      </c>
    </row>
    <row r="2" ht="150" customHeight="1">
      <c r="A2" s="7" t="inlineStr">
        <is>
          <t>F01</t>
        </is>
      </c>
      <c r="B2" s="7" t="inlineStr">
        <is>
          <t>單片段事實</t>
        </is>
      </c>
      <c r="C2" s="7" t="inlineStr">
        <is>
          <t>易</t>
        </is>
      </c>
      <c r="D2" s="7" t="inlineStr">
        <is>
          <t>4090 顯示卡的記憶體大小是多少？</t>
        </is>
      </c>
      <c r="E2" s="7" t="inlineStr">
        <is>
          <t>24GB。老師以 4090 作為後續比較的基準點。</t>
        </is>
      </c>
      <c r="F2" s="7" t="inlineStr">
        <is>
          <t>V1</t>
        </is>
      </c>
      <c r="G2" s="7" t="inlineStr">
        <is>
          <t>1057-1096</t>
        </is>
      </c>
      <c r="H2" s="7" t="inlineStr">
        <is>
          <t>N</t>
        </is>
      </c>
      <c r="I2" s="7" t="inlineStr">
        <is>
          <t>根據課程內容，4090 顯示卡的記憶體大小是 24GB，老師以這個數字作為後續比較的基準點。（依據：aiA10_1140119_1 1079-1096s）</t>
        </is>
      </c>
      <c r="J2" s="7" t="inlineStr">
        <is>
          <t>aiA10_1140119_1</t>
        </is>
      </c>
      <c r="K2" s="7" t="inlineStr">
        <is>
          <t>1079-1096s</t>
        </is>
      </c>
      <c r="L2" s="7" t="inlineStr">
        <is>
          <t>N</t>
        </is>
      </c>
      <c r="M2" s="7" t="inlineStr">
        <is>
          <t>matched</t>
        </is>
      </c>
      <c r="N2" s="7" t="n">
        <v>15</v>
      </c>
      <c r="O2" s="7" t="n">
        <v>0.82</v>
      </c>
      <c r="P2" s="7" t="inlineStr">
        <is>
          <t>N</t>
        </is>
      </c>
      <c r="Q2" s="7" t="n">
        <v>4.3</v>
      </c>
      <c r="R2" s="7" t="n">
        <v>5</v>
      </c>
      <c r="S2" s="7" t="n">
        <v>5</v>
      </c>
      <c r="T2" s="7" t="n">
        <v>4</v>
      </c>
      <c r="U2" s="7" t="n">
        <v>5</v>
      </c>
      <c r="V2" s="7" t="n">
        <v>5</v>
      </c>
      <c r="W2" s="7" t="n">
        <v>5</v>
      </c>
      <c r="X2" s="7" t="inlineStr">
        <is>
          <t>N</t>
        </is>
      </c>
      <c r="Y2" s="24">
        <f>IF(COUNT(R2:W2)&lt;6,"",IF(X2="Y",MIN(2,R2*0.3+S2*0.2+T2*0.15+U2*0.15+V2*0.1+W2*0.1),R2*0.3+S2*0.2+T2*0.15+U2*0.15+V2*0.1+W2*0.1))</f>
        <v/>
      </c>
      <c r="Z2" s="7" t="inlineStr">
        <is>
          <t>A5：24GB 與逐字稿完全一致。B5：整句話都出自 1079-1096s 片段，無外部知識。C4：正確但未提到老師是拿它當比較基準的脈絡（gold 要點的次要部分）。D5：影片正確，時間 1079-1096 落在 gold 區間內，誤差 0 秒。E5：一句話講完，精簡好讀。F5：資料充足且正常回答，判斷正確。</t>
        </is>
      </c>
      <c r="AA2" s="7" t="inlineStr">
        <is>
          <t>同意</t>
        </is>
      </c>
      <c r="AB2" s="7" t="inlineStr"/>
    </row>
    <row r="4">
      <c r="A4" s="13" t="inlineStr">
        <is>
          <t>說明</t>
        </is>
      </c>
      <c r="D4" s="14" t="inlineStr">
        <is>
          <t>評分理由欄請寫成「面向代號＋分數：原因」的格式，讓每一分都能追溯。這一列只是格式示範，不計入統計。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2026-08-24T12:59:19Z</dcterms:created>
  <dcterms:modified xmlns:dcterms="http://purl.org/dc/terms/" xmlns:xsi="http://www.w3.org/2001/XMLSchema-instance" xsi:type="dcterms:W3CDTF">2026-08-24T13:23:08Z</dcterms:modified>
</cp:coreProperties>
</file>